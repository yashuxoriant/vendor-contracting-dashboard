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wc-my.sharepoint.com/personal/michael_e_winters_pwc_com/Documents/Downloads/"/>
    </mc:Choice>
  </mc:AlternateContent>
  <xr:revisionPtr revIDLastSave="2" documentId="11_7FDF40A7D0BFD6C9CCC890EBC74EEBED008C6AE2" xr6:coauthVersionLast="47" xr6:coauthVersionMax="47" xr10:uidLastSave="{BCBE4536-1EBA-411D-A46E-0AE53D514784}"/>
  <bookViews>
    <workbookView xWindow="-105" yWindow="0" windowWidth="26010" windowHeight="20985" tabRatio="500" firstSheet="7" activeTab="7" xr2:uid="{00000000-000D-0000-FFFF-FFFF00000000}"/>
  </bookViews>
  <sheets>
    <sheet name="Rev2 Change Log" sheetId="1" state="hidden" r:id="rId1"/>
    <sheet name="BOM Rev2" sheetId="2" state="hidden" r:id="rId2"/>
    <sheet name="Assumptions &amp; Open Items" sheetId="3" state="hidden" r:id="rId3"/>
    <sheet name="BOM Rev3" sheetId="4" state="hidden" r:id="rId4"/>
    <sheet name="Right-Sizing Summary" sheetId="5" state="hidden" r:id="rId5"/>
    <sheet name="BOM Rev4" sheetId="6" state="hidden" r:id="rId6"/>
    <sheet name="Rev4 Change Log" sheetId="7" state="hidden" r:id="rId7"/>
    <sheet name="BOM Rev5" sheetId="8" r:id="rId8"/>
    <sheet name="Rev5 Change Log" sheetId="9" state="hidden" r:id="rId9"/>
    <sheet name="HW vs SW Split"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7" i="8" l="1"/>
  <c r="F66" i="8"/>
  <c r="F65" i="8"/>
  <c r="F64" i="8"/>
  <c r="F63" i="8"/>
  <c r="F62" i="8"/>
  <c r="F61" i="8"/>
  <c r="F59" i="8"/>
  <c r="F57" i="8"/>
  <c r="F55" i="8"/>
  <c r="F54" i="8"/>
  <c r="F53" i="8"/>
  <c r="F51" i="8"/>
  <c r="F50" i="8"/>
  <c r="F49" i="8"/>
  <c r="F48" i="8"/>
  <c r="F47" i="8"/>
  <c r="F46" i="8"/>
  <c r="F44" i="8"/>
  <c r="F42" i="8"/>
  <c r="F40" i="8"/>
  <c r="F39" i="8"/>
  <c r="F38" i="8"/>
  <c r="F37" i="8"/>
  <c r="F36" i="8"/>
  <c r="F34" i="8"/>
  <c r="F32" i="8"/>
  <c r="F31" i="8"/>
  <c r="F30" i="8"/>
  <c r="F28" i="8"/>
  <c r="F26" i="8"/>
  <c r="F23" i="8"/>
  <c r="F21" i="8"/>
  <c r="F20" i="8"/>
  <c r="F16" i="8"/>
  <c r="F13" i="8"/>
  <c r="F10" i="8"/>
  <c r="F9" i="8"/>
  <c r="F8" i="8"/>
  <c r="F7" i="8"/>
  <c r="F6" i="8"/>
  <c r="F5" i="8"/>
  <c r="F68" i="8" s="1"/>
  <c r="F67" i="6"/>
  <c r="F66" i="6"/>
  <c r="F65" i="6"/>
  <c r="F64" i="6"/>
  <c r="F63" i="6"/>
  <c r="F62" i="6"/>
  <c r="F61" i="6"/>
  <c r="F59" i="6"/>
  <c r="F57" i="6"/>
  <c r="F55" i="6"/>
  <c r="F54" i="6"/>
  <c r="F53" i="6"/>
  <c r="F51" i="6"/>
  <c r="F50" i="6"/>
  <c r="F49" i="6"/>
  <c r="F48" i="6"/>
  <c r="F47" i="6"/>
  <c r="F46" i="6"/>
  <c r="F44" i="6"/>
  <c r="F42" i="6"/>
  <c r="F40" i="6"/>
  <c r="F39" i="6"/>
  <c r="F38" i="6"/>
  <c r="F37" i="6"/>
  <c r="F36" i="6"/>
  <c r="F34" i="6"/>
  <c r="F32" i="6"/>
  <c r="F31" i="6"/>
  <c r="F30" i="6"/>
  <c r="F28" i="6"/>
  <c r="F27" i="6"/>
  <c r="F26" i="6"/>
  <c r="F23" i="6"/>
  <c r="F21" i="6"/>
  <c r="F20" i="6"/>
  <c r="F16" i="6"/>
  <c r="F13" i="6"/>
  <c r="F10" i="6"/>
  <c r="F9" i="6"/>
  <c r="F8" i="6"/>
  <c r="F68" i="6" s="1"/>
  <c r="F7" i="6"/>
  <c r="F6" i="6"/>
  <c r="F5" i="6"/>
  <c r="F74" i="4"/>
  <c r="F73" i="4"/>
  <c r="F72" i="4"/>
  <c r="F71" i="4"/>
  <c r="F70" i="4"/>
  <c r="F69" i="4"/>
  <c r="F68" i="4"/>
  <c r="F66" i="4"/>
  <c r="F64" i="4"/>
  <c r="F63" i="4"/>
  <c r="F61" i="4"/>
  <c r="F60" i="4"/>
  <c r="F59" i="4"/>
  <c r="F57" i="4"/>
  <c r="F56" i="4"/>
  <c r="F55" i="4"/>
  <c r="F54" i="4"/>
  <c r="F53" i="4"/>
  <c r="F52" i="4"/>
  <c r="F50" i="4"/>
  <c r="F48" i="4"/>
  <c r="F46" i="4"/>
  <c r="F45" i="4"/>
  <c r="F44" i="4"/>
  <c r="F43" i="4"/>
  <c r="F42" i="4"/>
  <c r="F40" i="4"/>
  <c r="F38" i="4"/>
  <c r="F37" i="4"/>
  <c r="F36" i="4"/>
  <c r="F35" i="4"/>
  <c r="F33" i="4"/>
  <c r="F32" i="4"/>
  <c r="F29" i="4"/>
  <c r="F28" i="4"/>
  <c r="F27" i="4"/>
  <c r="F25" i="4"/>
  <c r="F24" i="4"/>
  <c r="F23" i="4"/>
  <c r="F21" i="4"/>
  <c r="F20" i="4"/>
  <c r="F16" i="4"/>
  <c r="F13" i="4"/>
  <c r="F10" i="4"/>
  <c r="F9" i="4"/>
  <c r="F8" i="4"/>
  <c r="F7" i="4"/>
  <c r="F6" i="4"/>
  <c r="F5" i="4"/>
  <c r="F75" i="4" s="1"/>
  <c r="F77" i="2"/>
  <c r="F76" i="2"/>
  <c r="F75" i="2"/>
  <c r="F74" i="2"/>
  <c r="F73" i="2"/>
  <c r="F72" i="2"/>
  <c r="F71" i="2"/>
  <c r="F69" i="2"/>
  <c r="F67" i="2"/>
  <c r="F66" i="2"/>
  <c r="F64" i="2"/>
  <c r="F63" i="2"/>
  <c r="F62" i="2"/>
  <c r="F60" i="2"/>
  <c r="F59" i="2"/>
  <c r="F58" i="2"/>
  <c r="F57" i="2"/>
  <c r="F56" i="2"/>
  <c r="F55" i="2"/>
  <c r="F53" i="2"/>
  <c r="F51" i="2"/>
  <c r="F49" i="2"/>
  <c r="F48" i="2"/>
  <c r="F47" i="2"/>
  <c r="F46" i="2"/>
  <c r="F45" i="2"/>
  <c r="F44" i="2"/>
  <c r="F43" i="2"/>
  <c r="F42" i="2"/>
  <c r="F40" i="2"/>
  <c r="F38" i="2"/>
  <c r="F37" i="2"/>
  <c r="F36" i="2"/>
  <c r="F35" i="2"/>
  <c r="F33" i="2"/>
  <c r="F32" i="2"/>
  <c r="F29" i="2"/>
  <c r="F28" i="2"/>
  <c r="F27" i="2"/>
  <c r="F25" i="2"/>
  <c r="F24" i="2"/>
  <c r="F23" i="2"/>
  <c r="F21" i="2"/>
  <c r="F20" i="2"/>
  <c r="F16" i="2"/>
  <c r="F13" i="2"/>
  <c r="F10" i="2"/>
  <c r="F9" i="2"/>
  <c r="F8" i="2"/>
  <c r="F7" i="2"/>
  <c r="F6" i="2"/>
  <c r="F5" i="2"/>
  <c r="F78" i="2" s="1"/>
</calcChain>
</file>

<file path=xl/sharedStrings.xml><?xml version="1.0" encoding="utf-8"?>
<sst xmlns="http://schemas.openxmlformats.org/spreadsheetml/2006/main" count="1458" uniqueCount="724">
  <si>
    <t>BOM REVISION 2 — CHANGE LOG vs. REVISION 1</t>
  </si>
  <si>
    <t>Changes driven by: seller infrastructure detail email + SAP→RISE decision + PLM migration + Commvault like-for-like</t>
  </si>
  <si>
    <t>Item / Component</t>
  </si>
  <si>
    <t>Change Description</t>
  </si>
  <si>
    <t>Action</t>
  </si>
  <si>
    <t>Rationale</t>
  </si>
  <si>
    <t>IBM Power Stack 1 — E1050 Servers</t>
  </si>
  <si>
    <t>Removed 2x IBM Power E1050 servers and associated PowerVM/AIX licensing</t>
  </si>
  <si>
    <t>REMOVED</t>
  </si>
  <si>
    <t>SAP moving to RISE on Azure — IBM Power Stack 1 is SAP-only workload. No buyer infrastructure required.</t>
  </si>
  <si>
    <t>SAP HANA HSR Physical Cluster (UCS)</t>
  </si>
  <si>
    <t>Removed Cisco UCS B480 M5 + B200 M5 SAP HANA accelerator cluster (Stack 3 SAP portion)</t>
  </si>
  <si>
    <t>SAP RISE eliminates need for on-prem SAP HANA HSR physical cluster entirely.</t>
  </si>
  <si>
    <t>IBM FS7200 SAN Storage (SAP Stack)</t>
  </si>
  <si>
    <t>Removed FS7200 arrays associated with IBM Power Stack 1 (SAP workload)</t>
  </si>
  <si>
    <t>Storage was dedicated to SAP stack. Follows SAP to RISE — no buyer requirement.</t>
  </si>
  <si>
    <t>IBM SVC + Storwize V7000</t>
  </si>
  <si>
    <t>Removed IBM SAN Volume Controller and Storwize V7000 lines</t>
  </si>
  <si>
    <t>Seller confirmed decommission in progress — migration to FS7300 completing end of H1. Not relevant to buyer BOM.</t>
  </si>
  <si>
    <t>PLM Infrastructure (Tiger)</t>
  </si>
  <si>
    <t>IBM Power Stack 2 (E950) + Lenovo SR645 V3 x86 + FS5300 storage — parked as TBD</t>
  </si>
  <si>
    <t>PARKED / TBD</t>
  </si>
  <si>
    <t>Buyer moving off PLM Tiger but replacement not yet selected. If SaaS: infrastructure not required. If on-prem: unknown footprint. Placeholder retained at $0.</t>
  </si>
  <si>
    <t>Veeam Backup &amp; Replication</t>
  </si>
  <si>
    <t>Replaced Veeam with Commvault Complete Backup &amp; Recovery like-for-like</t>
  </si>
  <si>
    <t>REPLACED</t>
  </si>
  <si>
    <t>Seller runs Commvault on x86 Stack 4. Like-for-like replication avoids backup platform migration risk and preserves existing runbooks/skills.</t>
  </si>
  <si>
    <t>IBM Spectrum Protect (TSM)</t>
  </si>
  <si>
    <t>Retained — covers IBM Power Stack 3 (Storage Protect workload) and remaining Power stacks</t>
  </si>
  <si>
    <t>RETAINED</t>
  </si>
  <si>
    <t>Storage Protect is a dedicated IBM Power workload (Stack 3). Required for AIX backup across remaining Power stacks (Stack 3 &amp; 4).</t>
  </si>
  <si>
    <t>Commvault x86 Stack 4 Servers</t>
  </si>
  <si>
    <t>Added Lenovo Intel servers (Stack 4) with DAS for Commvault workload</t>
  </si>
  <si>
    <t>ADDED</t>
  </si>
  <si>
    <t>Seller runs Commvault on dedicated Lenovo Intel servers with direct-attached storage + TS4500 tape. Replicated like-for-like.</t>
  </si>
  <si>
    <t>IBM Power Stack 2 — E950 (PLM)</t>
  </si>
  <si>
    <t>Parked at TBD — not sized or costed until PLM solution selected</t>
  </si>
  <si>
    <t>Cannot size DB2/Oracle infrastructure without knowing replacement PLM platform requirements.</t>
  </si>
  <si>
    <t>IBM Power Stack 3 — E950 (Storage Protect)</t>
  </si>
  <si>
    <t>Retained — dedicated IBM Storage Protect backup server stack</t>
  </si>
  <si>
    <t>Storage Protect is a confirmed workload running on IBM Power. Required independently of SAP/PLM decisions.</t>
  </si>
  <si>
    <t>IBM Power Stack 4 — S922 (Oracle STD2 + HFM)</t>
  </si>
  <si>
    <t>Retained — Oracle STD2 + NFS servers + HFM (AIX/Oracle)</t>
  </si>
  <si>
    <t>HFM confirmed on AIX/Oracle. Oracle STD2 supports other app DB layer. Both stay on IBM Power until re-platforming decision made.</t>
  </si>
  <si>
    <t>x86 Stack 1 — Lenovo SR645 V3 AMD</t>
  </si>
  <si>
    <t>Retained — PLM app layer + MS SQL Always On + PostgreSQL</t>
  </si>
  <si>
    <t>RETAINED (PLM portion TBD)</t>
  </si>
  <si>
    <t>PLM app layer parked pending solution selection. MS SQL Always On and other app workloads retained.</t>
  </si>
  <si>
    <t>x86 Stack 2 — Lenovo Intel + FS7300</t>
  </si>
  <si>
    <t>Retained — MS SQL standalone + application layer with PBHA replication</t>
  </si>
  <si>
    <t>General application layer with storage replication capability. Confirmed scope.</t>
  </si>
  <si>
    <t>NetApp FAS8300</t>
  </si>
  <si>
    <t>Retained — file sharing / long-data storage (PLM and other apps)</t>
  </si>
  <si>
    <t>Seller confirmed NetApp FAS8300 used for PLM long-data and shared file storage across applications.</t>
  </si>
  <si>
    <t>Tape Library (TS4500)</t>
  </si>
  <si>
    <t>Activated — qty set to 1 with LTO-9 drives and media</t>
  </si>
  <si>
    <t>ACTIVATED</t>
  </si>
  <si>
    <t>Required for Commvault (x86 Stack 4) and long-term retention. Seller runs TS4500 in production.</t>
  </si>
  <si>
    <t>COLOCATION BOM — REVISION 2 | DIVESTITURE TARGET STATE</t>
  </si>
  <si>
    <t>SAP → RISE Azure (removed) | PLM → TBD (parked) | Commvault like-for-like | IBM Power Stacks 3 &amp; 4 retained</t>
  </si>
  <si>
    <t>Category</t>
  </si>
  <si>
    <t>Component</t>
  </si>
  <si>
    <t>Specification / Part Number</t>
  </si>
  <si>
    <t>Qty</t>
  </si>
  <si>
    <t>Unit Price ($)</t>
  </si>
  <si>
    <t>Extended ($)</t>
  </si>
  <si>
    <t>Notes</t>
  </si>
  <si>
    <t xml:space="preserve">  COMPUTE — IBM Power (Stack 3: Storage Protect | Stack 4: Oracle STD2 + HFM + NFS)</t>
  </si>
  <si>
    <t>Compute (IBM Power)</t>
  </si>
  <si>
    <t>IBM Power E950 Server — Stack 3</t>
  </si>
  <si>
    <t>9040-MR9 (2-socket PowerVM) | Storage Protect workload</t>
  </si>
  <si>
    <t>Stack 3 — IBM Storage Protect backup workload. HA pair across dual rooms.</t>
  </si>
  <si>
    <t>IBM Power S922 Server — Stack 4</t>
  </si>
  <si>
    <t>9009-22A (2-socket PowerVM) | Oracle STD2 + HFM + NFS</t>
  </si>
  <si>
    <t>Stack 4 — Oracle STD2 (AIX+PowerHA), HFM (AIX/Oracle), NFS servers. HA pair across dual rooms.</t>
  </si>
  <si>
    <t>IBM PowerVM Enterprise License</t>
  </si>
  <si>
    <t>PowerVM Ent (per physical server)</t>
  </si>
  <si>
    <t>4 servers total across Stack 3 + Stack 4</t>
  </si>
  <si>
    <t>AIX Operating System License</t>
  </si>
  <si>
    <t>IBM AIX 7.3 (per server)</t>
  </si>
  <si>
    <t>AIX licensing for Stack 3 &amp; 4 servers</t>
  </si>
  <si>
    <t>IBM Hardware Management Console (HMC)</t>
  </si>
  <si>
    <t>HMC v10 Virtual Appliance</t>
  </si>
  <si>
    <t>LPAR management console for all IBM Power servers</t>
  </si>
  <si>
    <t>Oracle DB Enterprise Edition (HFM stack)</t>
  </si>
  <si>
    <t>Oracle DB EE — 20 cores x core factor</t>
  </si>
  <si>
    <t>Oracle EE licensing for HFM/AIX on Stack 4. Note: IBM Power core factor applies — validate with Oracle LMS before finalising.</t>
  </si>
  <si>
    <t>⚠ PLM — IBM Power Stack 2 (E950)</t>
  </si>
  <si>
    <t>TBD — pending PLM solution selection</t>
  </si>
  <si>
    <t>PARKED: DB2/HADR + Oracle EE for PLM Tiger runs on E950. Not sized until replacement PLM platform confirmed. If SaaS → remove. If on-prem → re-scope.</t>
  </si>
  <si>
    <t xml:space="preserve">  COMPUTE — x86 Stack 1: Lenovo SR645 V3 AMD (MS SQL Always On, PostgreSQL, App Layer)</t>
  </si>
  <si>
    <t>Compute (x86 Stack 1)</t>
  </si>
  <si>
    <t>Lenovo ThinkSystem SR645 V3</t>
  </si>
  <si>
    <t>7D9C-CT01WW — AMD EPYC 9354, 512GB RAM</t>
  </si>
  <si>
    <t>Stack 1 — AMD-based VMware cluster. MS SQL Always On, PostgreSQL, general app layer. PLM app layer portion parked — sized for non-PLM workloads only.</t>
  </si>
  <si>
    <t>⚠ PLM App Layer — Lenovo SR645 V3 (additional)</t>
  </si>
  <si>
    <t>TBD — additional nodes if PLM on-prem</t>
  </si>
  <si>
    <t>PARKED: PLM application layer runs on SR645 V3. Node count TBD pending PLM solution selection.</t>
  </si>
  <si>
    <t xml:space="preserve">  COMPUTE — x86 Stack 2: Lenovo Intel VMware (MS SQL Standalone, App Layer, PBHA replication)</t>
  </si>
  <si>
    <t>Compute (x86 Stack 2)</t>
  </si>
  <si>
    <t>Lenovo ThinkSystem SR650 V2</t>
  </si>
  <si>
    <t>7Z73-CT01WW — Intel Xeon Platinum, 512GB RAM</t>
  </si>
  <si>
    <t>Stack 2 — Intel VMware cluster. MS SQL standalone, app layer. PBHA storage replication for workloads that cannot replicate at app/DB layer.</t>
  </si>
  <si>
    <t xml:space="preserve">  COMPUTE — x86 Stack 3: Cisco UCS (SAP HANA HSR — REMOVED → RISE)</t>
  </si>
  <si>
    <t xml:space="preserve">  ✖  Cisco UCS B-Series (SAP Stack 3) — REMOVED. SAP HANA HSR physical cluster eliminated. SAP moves to RISE on Azure.</t>
  </si>
  <si>
    <t xml:space="preserve">  COMPUTE — x86 Stack 4: Lenovo Intel (Commvault Backup — DAS + Tape)</t>
  </si>
  <si>
    <t>Compute (x86 Stack 4)</t>
  </si>
  <si>
    <t>Lenovo ThinkSystem SR650</t>
  </si>
  <si>
    <t>7X06-CTO1WW — Intel Xeon, 256GB RAM, large DAS config</t>
  </si>
  <si>
    <t>NEW — Dedicated Commvault media server / backup proxy nodes with direct-attached storage. Like-for-like with seller Stack 4.</t>
  </si>
  <si>
    <t>Direct-Attached Storage (DAS) — Backup</t>
  </si>
  <si>
    <t>60-bay JBOD, 20TB NL-SAS per bay (1.2PB raw per node)</t>
  </si>
  <si>
    <t>NEW — DAS for Commvault disk-based backup landing zone. Matches seller Stack 4 architecture.</t>
  </si>
  <si>
    <t xml:space="preserve">  COMPUTE — VMware Management &amp; HCI</t>
  </si>
  <si>
    <t>Compute (Mgmt)</t>
  </si>
  <si>
    <t>Cisco UCS X9508 Chassis</t>
  </si>
  <si>
    <t>UCSX-9508 (8-node modular chassis)</t>
  </si>
  <si>
    <t>Reduced from 5 to 3 — SAP cluster removed. Supports Stack 1 + Stack 2 VMware workloads.</t>
  </si>
  <si>
    <t>Cisco UCS X210c M7 Compute Node</t>
  </si>
  <si>
    <t>UCSX-210C-M7 (2x Intel Xeon Platinum 8468, 512GB)</t>
  </si>
  <si>
    <t>Reduced from 40 to 24 nodes — SAP cluster removed. Prod (12) + QA/Dev (12) for x86 VMware stacks.</t>
  </si>
  <si>
    <t>Cisco UCS 6536 Fabric Interconnect</t>
  </si>
  <si>
    <t>UCS-FI-6536 (36x 100GbE QSFP28)</t>
  </si>
  <si>
    <t>HA pair — fabric interconnects for UCS X-Series chassis</t>
  </si>
  <si>
    <t xml:space="preserve">  STORAGE — IBM SAN (IBM Power Stacks 3 &amp; 4)</t>
  </si>
  <si>
    <t>Storage (IBM SAN)</t>
  </si>
  <si>
    <t>IBM FlashSystem 7300 — Stack 4 (Oracle/HFM)</t>
  </si>
  <si>
    <t>IBM FS7300 NVMe SAN array — HA pair across rooms</t>
  </si>
  <si>
    <t>NEW — Primary block SAN for Stack 4 (Oracle STD2 + HFM). Matches seller FS7300 deployment. One per room, no replication (consistent with seller architecture).</t>
  </si>
  <si>
    <t>IBM FlashSystem 5300 — Stack 3 (Storage Protect)</t>
  </si>
  <si>
    <t>IBM FS5300 SAN array — 1 per room</t>
  </si>
  <si>
    <t>NEW — Block SAN for IBM Storage Protect (Stack 3). One per room, independent stack per seller architecture.</t>
  </si>
  <si>
    <t>IBM SAN Director (FC Fabric)</t>
  </si>
  <si>
    <t>IBM SAN768B-2 or equivalent — HA pair</t>
  </si>
  <si>
    <t>NEW — Fibre Channel SAN directors for IBM Power stacks. Matches seller IBM SAN Director deployment for Power-connected storage.</t>
  </si>
  <si>
    <t>⚠ PLM Storage — IBM FS5300 (Stack 1)</t>
  </si>
  <si>
    <t>TBD — 2x FS5300 for PLM app layer on SR645 V3</t>
  </si>
  <si>
    <t>PARKED: PLM uses 2x FS5300 per room on x86 Stack 1. Not committed until PLM solution confirmed.</t>
  </si>
  <si>
    <t xml:space="preserve">  STORAGE — IBM SAN (x86 Stacks 1 &amp; 2, Cisco UCS FC)</t>
  </si>
  <si>
    <t>Storage (x86 SAN)</t>
  </si>
  <si>
    <t>IBM FlashSystem 7300 — Stack 2 (Intel VMware)</t>
  </si>
  <si>
    <t>IBM FS7300 NVMe SAN array — HA pair, PBHA replication</t>
  </si>
  <si>
    <t>Stack 2 — FS7300 with PBHA replication capability between rooms. For workloads where app/DB layer cannot guarantee replication.</t>
  </si>
  <si>
    <t>Cisco MDS 9132T SAN Switch (x86 FC)</t>
  </si>
  <si>
    <t>MDS 9132T (32Gb FC, 32-port) — HA pair</t>
  </si>
  <si>
    <t>NEW — Cisco FC SAN switches for x86 stacks (matches seller Cisco SAN switch + FI architecture for UCS-connected storage).</t>
  </si>
  <si>
    <t xml:space="preserve">  STORAGE — NetApp (File / NAS)</t>
  </si>
  <si>
    <t>Storage (NetApp)</t>
  </si>
  <si>
    <t>NetApp FAS8300 Controller Pair</t>
  </si>
  <si>
    <t>FAS8300 HA pair — NAS/file sharing</t>
  </si>
  <si>
    <t>Like-for-like — seller runs FAS8300 for PLM long-data and shared file storage across applications.</t>
  </si>
  <si>
    <t>NetApp NL-SAS Shelf DS460C</t>
  </si>
  <si>
    <t>DS460C (60x 14TB NL-SAS = 840TB raw)</t>
  </si>
  <si>
    <t>Capacity shelves for FAS8300 NAS workloads</t>
  </si>
  <si>
    <t>NetApp ONTAP Standard Bundle</t>
  </si>
  <si>
    <t>SW-ONTAP-STD (per controller pair)</t>
  </si>
  <si>
    <t>Storage OS and data management features</t>
  </si>
  <si>
    <t>NetApp NVMe SSD — Performance tier</t>
  </si>
  <si>
    <t>X48572A (7.68TB NVMe SSD)</t>
  </si>
  <si>
    <t>Reduced from 96 — performance tier for remaining x86 VMware workloads (SAP removed).</t>
  </si>
  <si>
    <t xml:space="preserve">  STORAGE — IBM Object Storage (IBM Cloud Object Storage / Spectrum Scale)</t>
  </si>
  <si>
    <t>Storage (Object)</t>
  </si>
  <si>
    <t>IBM COS / Spectrum Scale Cluster</t>
  </si>
  <si>
    <t>Accesser (2-node) + Slicetor (4-node) + JBOD</t>
  </si>
  <si>
    <t>NEW — Object storage tier. Seller uses IBM COS (Ethernet-connected) as secondary tier for Storage Protect (Stack 3). Required for backup offload.</t>
  </si>
  <si>
    <t xml:space="preserve">  NETWORK INFRASTRUCTURE</t>
  </si>
  <si>
    <t>Network Core</t>
  </si>
  <si>
    <t>Cisco Nexus 9504 Core Switch</t>
  </si>
  <si>
    <t>N9K-C9504 + SUP-A+ — HA pair</t>
  </si>
  <si>
    <t>Core spine switches — HA pair</t>
  </si>
  <si>
    <t>Cisco Nexus 9500 Line Cards</t>
  </si>
  <si>
    <t>N9K-X9736C-FX (36x 100GbE)</t>
  </si>
  <si>
    <t>2 per core switch</t>
  </si>
  <si>
    <t>Network Agg</t>
  </si>
  <si>
    <t>Cisco Nexus 93180YC-FX</t>
  </si>
  <si>
    <t>N9K-C93180YC-FX (48x25G, 6x100G)</t>
  </si>
  <si>
    <t>Aggregation / distribution layer</t>
  </si>
  <si>
    <t>Network Access</t>
  </si>
  <si>
    <t>Cisco Nexus 93180YC-EX</t>
  </si>
  <si>
    <t>N9K-C93180YC-EX (48x10G, 6x40G)</t>
  </si>
  <si>
    <t>Reduced from 10 — ToR switches. Fewer racks needed with SAP cluster removed.</t>
  </si>
  <si>
    <t>Network Mgmt</t>
  </si>
  <si>
    <t>Cisco Catalyst 9300 OOB Switch</t>
  </si>
  <si>
    <t>C9300-48P (48x1G PoE+)</t>
  </si>
  <si>
    <t>Out-of-band management network</t>
  </si>
  <si>
    <t>Network Edge</t>
  </si>
  <si>
    <t>Cisco ASR 1006-X Router</t>
  </si>
  <si>
    <t>ASR1006-X — HA pair</t>
  </si>
  <si>
    <t>WAN border routers — HA pair</t>
  </si>
  <si>
    <t>Cisco ASR 1000 SIP Module</t>
  </si>
  <si>
    <t>ASR1000-SIP40 (40Gbps)</t>
  </si>
  <si>
    <t>2 per router</t>
  </si>
  <si>
    <t>Network OOB</t>
  </si>
  <si>
    <t>Perle IOLAN STS16 Console Server</t>
  </si>
  <si>
    <t>IOLAN STS16 (16-port) — 1 per rack</t>
  </si>
  <si>
    <t>NEW — OOB console access. Lights-out operations.</t>
  </si>
  <si>
    <t xml:space="preserve">  SECURITY INFRASTRUCTURE</t>
  </si>
  <si>
    <t>Security</t>
  </si>
  <si>
    <t>Cisco Firepower 4150 NGFW</t>
  </si>
  <si>
    <t>FPR4150-NGFW-K9 (40Gbps) — 2x HA pairs</t>
  </si>
  <si>
    <t>Perimeter firewalls — HA pairs for dual-room concept</t>
  </si>
  <si>
    <t xml:space="preserve">  LOAD BALANCING</t>
  </si>
  <si>
    <t>Load Balancing</t>
  </si>
  <si>
    <t>F5 BIG-IP r5900</t>
  </si>
  <si>
    <t>HA pair</t>
  </si>
  <si>
    <t>Application load balancing — HA pair</t>
  </si>
  <si>
    <t xml:space="preserve">  BACKUP &amp; DR INFRASTRUCTURE</t>
  </si>
  <si>
    <t>Backup (x86)</t>
  </si>
  <si>
    <t>Commvault Complete Backup &amp; Recovery</t>
  </si>
  <si>
    <t>Commvault HyperScale X or Universal license (per TB frontend)</t>
  </si>
  <si>
    <t>NEW — Replaces Veeam. Like-for-like with seller Commvault deployment on x86 Stack 4. Covers all x86 VMware workloads.</t>
  </si>
  <si>
    <t>Commvault 3yr Support &amp; Maintenance</t>
  </si>
  <si>
    <t>22% annual maintenance on license value</t>
  </si>
  <si>
    <t>NEW — 3yr support included</t>
  </si>
  <si>
    <t>Backup (IBM Power)</t>
  </si>
  <si>
    <t>IBM Spectrum Protect (Storage Protect)</t>
  </si>
  <si>
    <t>IBM SP Plus — AIX/Power backup. Runs on Stack 3.</t>
  </si>
  <si>
    <t>Retained — AIX backup for IBM Power Stacks 3 &amp; 4. Standard Commvault/Veeam does not support AIX.</t>
  </si>
  <si>
    <t>Backup</t>
  </si>
  <si>
    <t>IBM TS4500 Tape Library</t>
  </si>
  <si>
    <t>IBM TS4500 (LTO-9, 100-slot base frame)</t>
  </si>
  <si>
    <t>ACTIVATED — Long-term retention for Commvault + Storage Protect. Matches seller TS4500 in production.</t>
  </si>
  <si>
    <t>LTO-9 Tape Drives</t>
  </si>
  <si>
    <t>IBM LTO-9 FC (12TB native capacity)</t>
  </si>
  <si>
    <t>ACTIVATED — 4 drives (was 0 in Rev 1)</t>
  </si>
  <si>
    <t>LTO-9 Tape Media</t>
  </si>
  <si>
    <t>LTO-9 cartridge (12TB native / 30TB compressed)</t>
  </si>
  <si>
    <t>ACTIVATED — 200 cartridges (was 0 in Rev 1)</t>
  </si>
  <si>
    <t xml:space="preserve">  VIRTUALISATION PLATFORM</t>
  </si>
  <si>
    <t>Virtualisation</t>
  </si>
  <si>
    <t>VMware vSphere Enterprise Plus</t>
  </si>
  <si>
    <t>vSphere 8 Ent+ (per CPU) — 32 hosts x 2 CPU</t>
  </si>
  <si>
    <t>Reduced from 80 CPUs — host count reduced with SAP cluster removal.</t>
  </si>
  <si>
    <t>VMware NSX Data Center</t>
  </si>
  <si>
    <t>NSX-T Enterprise Plus (per CPU)</t>
  </si>
  <si>
    <t>Reduced from 80 — matches vSphere host count.</t>
  </si>
  <si>
    <t>VMware vCenter Server</t>
  </si>
  <si>
    <t>vCenter Server Standard (3yr)</t>
  </si>
  <si>
    <t>Central management — prod + non-prod vCenter instances</t>
  </si>
  <si>
    <t xml:space="preserve">  MONITORING &amp; MANAGEMENT</t>
  </si>
  <si>
    <t>Monitoring</t>
  </si>
  <si>
    <t>Cisco Intersight Virtual Appliance</t>
  </si>
  <si>
    <t>ISCV-INF-VADV</t>
  </si>
  <si>
    <t>UCS infrastructure management</t>
  </si>
  <si>
    <t>IBM Power HMC + IBM Instana</t>
  </si>
  <si>
    <t>IBM Instana APM — IBM Power monitoring layer</t>
  </si>
  <si>
    <t>NEW — IBM Power performance monitoring and APM.</t>
  </si>
  <si>
    <t xml:space="preserve">  RACK &amp; PHYSICAL INFRASTRUCTURE</t>
  </si>
  <si>
    <t>Rack</t>
  </si>
  <si>
    <t>42U Rack with Dual PDU (APC)</t>
  </si>
  <si>
    <t>APC AR2587 + AP8853 PDU pairs</t>
  </si>
  <si>
    <t>Retained at 8 — dual room concept requires racks in both rooms. IBM Power servers are physically larger; allocated 2 racks per Power stack.</t>
  </si>
  <si>
    <t xml:space="preserve">  CABLING &amp; OPTICS</t>
  </si>
  <si>
    <t>Cabling</t>
  </si>
  <si>
    <t>Fiber Optic OM4 AOC (25G)</t>
  </si>
  <si>
    <t>25G SFP28 AOC 5m — server to ToR</t>
  </si>
  <si>
    <t>Reduced from 240 — fewer compute nodes.</t>
  </si>
  <si>
    <t>Cat6A Copper Patch</t>
  </si>
  <si>
    <t>Cat6A patch cable 2m — management network</t>
  </si>
  <si>
    <t>Management network cabling</t>
  </si>
  <si>
    <t>Fiber Patch Panels</t>
  </si>
  <si>
    <t>LC duplex 48-port panel</t>
  </si>
  <si>
    <t>Fiber distribution</t>
  </si>
  <si>
    <t>FC SAN Cabling (32Gb OM4)</t>
  </si>
  <si>
    <t>32Gb FC SFP+ cables 2m — IBM Power + x86 to SAN</t>
  </si>
  <si>
    <t>NEW — FC fabric cabling for both IBM Power and x86 SAN connectivity.</t>
  </si>
  <si>
    <t>Optics</t>
  </si>
  <si>
    <t>Cisco 25G SFP28 SR</t>
  </si>
  <si>
    <t>SFP-25G-SR-S</t>
  </si>
  <si>
    <t>25GbE server uplinks</t>
  </si>
  <si>
    <t>Cisco 10G SFP+ SR</t>
  </si>
  <si>
    <t>SFP-10G-SR-S</t>
  </si>
  <si>
    <t>Reduced from 192 — 10GbE access layer.</t>
  </si>
  <si>
    <t>Cisco 32G FC SFP+ (MDS + IBM SAN Director)</t>
  </si>
  <si>
    <t>DS-SFP-FC32G-SW</t>
  </si>
  <si>
    <t>NEW — FC optics for Cisco MDS and IBM SAN Director switches.</t>
  </si>
  <si>
    <t>TOTAL ESTIMATED COST — BOM REVISION 2</t>
  </si>
  <si>
    <t>Excludes PLM TBD items | Excludes SAP RISE Azure costs | Excludes WAN circuit costs</t>
  </si>
  <si>
    <t>LEGEND:</t>
  </si>
  <si>
    <t>NEW — not in Rev 1</t>
  </si>
  <si>
    <t>MODIFIED from Rev 1</t>
  </si>
  <si>
    <t>UNCHANGED</t>
  </si>
  <si>
    <t>PARKED / TBD — not costed</t>
  </si>
  <si>
    <t>KEY ASSUMPTIONS &amp; OPEN ITEMS — BOM REVISION 2</t>
  </si>
  <si>
    <t>Item</t>
  </si>
  <si>
    <t>Detail</t>
  </si>
  <si>
    <t>SAP → RISE</t>
  </si>
  <si>
    <t>SAP ECC/S4 migrating to SAP RISE on Azure. All IBM Power Stack 1 (E1050), SAP HANA HSR physical cluster (UCS), and associated FS7200 storage removed from buyer BOM. SAP RISE project budget is separate.</t>
  </si>
  <si>
    <t>PLM Solution</t>
  </si>
  <si>
    <t>OPEN: Buyer moving off PLM Tiger. No replacement selected. All PLM infrastructure (IBM Power Stack 2, Lenovo SR645 V3 PLM nodes, FS5300 PLM storage) PARKED at $0. BOM must be re-opened once new PLM platform is confirmed. If SaaS → items removed. If on-prem → re-scope required.</t>
  </si>
  <si>
    <t>Commvault</t>
  </si>
  <si>
    <t>Like-for-like replication of seller Commvault deployment. Runs on dedicated Lenovo Intel servers (Stack 4) with DAS + TS4500 tape. Covers all x86 VMware workloads. IBM Power backup covered separately by IBM Storage Protect (Stack 3).</t>
  </si>
  <si>
    <t>IBM Power Stacks</t>
  </si>
  <si>
    <t>Stacks 3 and 4 retained: Stack 3 = IBM Storage Protect (E950 HA pair), Stack 4 = Oracle STD2 + HFM + NFS (S922 HA pair). Stack 1 (SAP) removed. Stack 2 (PLM) parked.</t>
  </si>
  <si>
    <t>Dual Room Architecture</t>
  </si>
  <si>
    <t>Seller runs dual-room HA concept in Marcoussis. BOM reflects this — independent storage stacks per room for IBM Power, consistent with seller architecture. Replication at storage layer only where seller does so (Stack 2 PBHA).</t>
  </si>
  <si>
    <t>IBM Power Storage</t>
  </si>
  <si>
    <t>FS7200 (SAP stack) removed with SAP. FS7300 retained for Stack 4 (Oracle/HFM) and Stack 2 Intel VMware. FS5300 for Stack 3 (Storage Protect) and Stack 1 AMD VMware. SVC + Storwize V7000 removed — seller confirmed decommission completing end H1.</t>
  </si>
  <si>
    <t>Oracle Licensing</t>
  </si>
  <si>
    <t>OPEN: Oracle DB EE on IBM Power (HFM/Stack 4) is subject to IBM Power core factor multiplier. Exact cost depends on LPAR core allocation. License cost placeholder — validate with Oracle LMS before finalising. Consider this a material cost risk item.</t>
  </si>
  <si>
    <t>Checkpoint Migration</t>
  </si>
  <si>
    <t>Buyer BOM uses Cisco Firepower as target state. Checkpoint policy migration is a separate professional services effort estimated at $65K. Timeline for migration must be sequenced before cutover — cannot run both simultaneously at perimeter.</t>
  </si>
  <si>
    <t>Commvault vs Veeam</t>
  </si>
  <si>
    <t>Decision made: Commvault like-for-like. If buyer has existing Veeam enterprise agreement, this should be revisited — consolidating to Veeam could reduce licensing cost and eliminate a platform. Raise with buyer IT leadership.</t>
  </si>
  <si>
    <t>TSA Exposure — IBM Power</t>
  </si>
  <si>
    <t>IBM Power Stacks 3 &amp; 4 are fully on-prem in seller DC today. Buyer must stand up equivalent before TSA exit. IBM Power procurement lead times are 12–16 weeks. Factor into TSA negotiation — this is a likely critical path item for exit date.</t>
  </si>
  <si>
    <t>Tape Library</t>
  </si>
  <si>
    <t>TS4500 activated in this revision. Seller also has TS3500 in decommission — not replicated. LTO-9 drives and 200 cartridges activated. Adjust based on retention policy confirmation.</t>
  </si>
  <si>
    <t>DRP / Second Site</t>
  </si>
  <si>
    <t>BOM covers EDC (production) footprint. DRP site (Clichy in seller estate) will need a separate DRP BOM pass once production scope is confirmed. Some items sized for dual-room in single BOM; true DRP site BOM TBD.</t>
  </si>
  <si>
    <t>WAN / Circuits</t>
  </si>
  <si>
    <t>WAN circuits, cross-connects, and Equinix colocation space/power costs are excluded from this BOM. Separate colocation and connectivity budget required.</t>
  </si>
  <si>
    <t>Prices</t>
  </si>
  <si>
    <t>All prices are list price estimates. Assume 25-40% discount via Cisco/IBM/Lenovo partners on hardware. Commvault and VMware discounts vary — get competitive quotes. IBM Power hardware discounts are typically lower (10-20%).</t>
  </si>
  <si>
    <t>COLOCATION BOM — REVISION 3 | RIGHT-SIZED FOR 100 APPLICATIONS</t>
  </si>
  <si>
    <t>Right-sizing applied to x86 compute, network core/agg, VMware NSX, load balancing, and WAN routing | Blue = right-sized vs Rev2</t>
  </si>
  <si>
    <t>Stack 3 — IBM Storage Protect. HA pair across dual rooms. Minimum viable for PowerHA.</t>
  </si>
  <si>
    <t>Stack 4 — Oracle STD2 (AIX+PowerHA), HFM (AIX/Oracle), NFS servers. HA pair.</t>
  </si>
  <si>
    <t>4 servers across Stack 3 + Stack 4</t>
  </si>
  <si>
    <t>AIX licensing for Stack 3 &amp; 4</t>
  </si>
  <si>
    <t>LPAR management console</t>
  </si>
  <si>
    <t>Oracle DB EE — 20 cores x IBM Power core factor</t>
  </si>
  <si>
    <t>HFM/AIX Stack 4. Validate core count with Oracle LMS — IBM Power core factor is a cost risk.</t>
  </si>
  <si>
    <t>PARKED: Not sized until replacement PLM confirmed.</t>
  </si>
  <si>
    <t>RIGHT-SIZED: Reduced 8→6 nodes. 6 nodes = 3TB RAM, ~600 EPYC cores. Sufficient for MS SQL Always On, PostgreSQL, and general app tier for ~50-60 VMs.</t>
  </si>
  <si>
    <t>⚠ PLM App Layer — SR645 V3 (additional)</t>
  </si>
  <si>
    <t>PARKED: PLM app layer node count TBD pending PLM solution selection.</t>
  </si>
  <si>
    <t>RIGHT-SIZED: Reduced 8→6 nodes. Supports MS SQL standalone + app layer. PBHA replication capability retained at stack level.</t>
  </si>
  <si>
    <t>Dedicated Commvault media server / backup proxy. Like-for-like with seller Stack 4.</t>
  </si>
  <si>
    <t>60-bay JBOD, 20TB NL-SAS per bay</t>
  </si>
  <si>
    <t>DAS for Commvault disk-based backup landing zone.</t>
  </si>
  <si>
    <t xml:space="preserve">  COMPUTE — UCS X-Series Management Fabric (right-sized)</t>
  </si>
  <si>
    <t>Compute (UCS)</t>
  </si>
  <si>
    <t>RIGHT-SIZED: Reduced 3→2 chassis. 2 chassis support 16 nodes comfortably — sufficient for Stack 1 + Stack 2 VMware workloads at 100 app scale.</t>
  </si>
  <si>
    <t>RIGHT-SIZED: Reduced 24→16 nodes. 16 nodes = 8TB RAM, ~1,600 cores across UCS fabric. Appropriate for ~150-200 VMs supporting 100 apps across prod/QA/dev.</t>
  </si>
  <si>
    <t>HA pair — fabric interconnects. Unchanged.</t>
  </si>
  <si>
    <t>IBM FS7300 NVMe SAN — 1 per room, independent</t>
  </si>
  <si>
    <t>Stack 4 block SAN. Per-room independent stacks per seller architecture. Architecturally required.</t>
  </si>
  <si>
    <t>IBM FS5300 SAN — 1 per room, independent</t>
  </si>
  <si>
    <t>Stack 3 block SAN. Per-room independent stacks.</t>
  </si>
  <si>
    <t>FC SAN directors for IBM Power stacks. Required for PowerHA + SAN connectivity.</t>
  </si>
  <si>
    <t>TBD — 2x FS5300 for PLM app layer</t>
  </si>
  <si>
    <t>PARKED: Not committed until PLM solution confirmed.</t>
  </si>
  <si>
    <t xml:space="preserve">  STORAGE — IBM SAN (x86 Stacks 1 &amp; 2)</t>
  </si>
  <si>
    <t>IBM FS7300 NVMe SAN — HA pair, PBHA replication</t>
  </si>
  <si>
    <t>Stack 2 FS7300 with PBHA replication between rooms.</t>
  </si>
  <si>
    <t>Cisco MDS 9132T SAN Switch</t>
  </si>
  <si>
    <t>Cisco FC SAN switches for x86 stacks.</t>
  </si>
  <si>
    <t>Like-for-like — FAS8300 for PLM long-data and shared file storage.</t>
  </si>
  <si>
    <t>Storage OS and data management</t>
  </si>
  <si>
    <t>Performance tier for x86 VMware workloads.</t>
  </si>
  <si>
    <t xml:space="preserve">  STORAGE — IBM Object Storage (Spectrum Scale / COS)</t>
  </si>
  <si>
    <t>Object storage tier — backup offload for Storage Protect (Stack 3).</t>
  </si>
  <si>
    <t xml:space="preserve">  NETWORK INFRASTRUCTURE (right-sized — collapsed spine-leaf, no dedicated agg layer)</t>
  </si>
  <si>
    <t>Network Spine</t>
  </si>
  <si>
    <t>Cisco Nexus 9336C-FX2 Spine Switch</t>
  </si>
  <si>
    <t>N9K-C9336C-FX2 (36x 100GbE QSFP28, fixed form) — HA pair</t>
  </si>
  <si>
    <t>RIGHT-SIZED: Replaces Nexus 9504 modular chassis + line cards ($190K→$76K). 9336C-FX2 is fixed-form spine — more than adequate for 8-rack private colo. Same unit visible in seller DRP inventory.</t>
  </si>
  <si>
    <t>Cisco Nexus 93180YC-FX ToR Switch</t>
  </si>
  <si>
    <t>N9K-C93180YC-FX (48x25G, 6x100G) — ToR per rack</t>
  </si>
  <si>
    <t>RIGHT-SIZED: Collapsed spine-leaf — aggregation layer removed. ToR switches connect directly to spine. Increased qty 6→8 to cover all racks. Net saving ~$80K vs separate agg + access layers.</t>
  </si>
  <si>
    <t>RIGHT-SIZED: Reduced 4→2. Out-of-band management — 2 switches sufficient for 8-rack OOB network with redundancy.</t>
  </si>
  <si>
    <t>Cisco ASR 1002-HX Router</t>
  </si>
  <si>
    <t>ASR1002-HX (fixed form, 6x10G + 2x100G, 100Gbps aggregate)</t>
  </si>
  <si>
    <t>RIGHT-SIZED: Replaces ASR 1006-X chassis + SIP modules ($118K→$56K). ASR 1002-HX is fixed-form enterprise WAN router — adequate for colo WAN uplinks at this scale. HA pair.</t>
  </si>
  <si>
    <t>OOB console access for lights-out operations.</t>
  </si>
  <si>
    <t>Perimeter firewalls — HA pairs for dual-room concept.</t>
  </si>
  <si>
    <t xml:space="preserve">  LOAD BALANCING (right-sized)</t>
  </si>
  <si>
    <t>F5 BIG-IP r4600</t>
  </si>
  <si>
    <t>F5 r4600 (25Gbps throughput, 64M concurrent connections) — HA pair</t>
  </si>
  <si>
    <t>RIGHT-SIZED: Replaces r5900 ($80K→$56K). r4600 delivers 25Gbps throughput — more than sufficient for 100-app colo workload. r5900 is 200Gbps+ carrier-grade overkill.</t>
  </si>
  <si>
    <t>Commvault Universal License (per TB frontend)</t>
  </si>
  <si>
    <t>Like-for-like with seller Commvault. Covers all x86 VMware workloads.</t>
  </si>
  <si>
    <t>3yr support</t>
  </si>
  <si>
    <t>IBM SP Plus — AIX/Power backup, runs on Stack 3</t>
  </si>
  <si>
    <t>Required — covers AIX backup for IBM Power Stacks 3 &amp; 4.</t>
  </si>
  <si>
    <t>Long-term retention for Commvault + Storage Protect.</t>
  </si>
  <si>
    <t>IBM LTO-9 FC (12TB native)</t>
  </si>
  <si>
    <t>4 drives activated.</t>
  </si>
  <si>
    <t>LTO-9 cartridge (12TB/30TB compressed)</t>
  </si>
  <si>
    <t>200 cartridges.</t>
  </si>
  <si>
    <t xml:space="preserve">  VIRTUALISATION PLATFORM (right-sized)</t>
  </si>
  <si>
    <t>vSphere 8 Ent+ (per CPU) — 28 hosts x 2 CPU</t>
  </si>
  <si>
    <t>RIGHT-SIZED: Reduced 64→56 CPUs (28 hosts: 6 SR645 + 6 SR650 + 16 UCS X210c). Matches right-sized host count.</t>
  </si>
  <si>
    <t>VMware NSX Data Center Standard</t>
  </si>
  <si>
    <t>NSX-T Standard (per CPU) — replaces Enterprise Plus</t>
  </si>
  <si>
    <t>RIGHT-SIZED: Downgraded NSX-T Enterprise Plus→Standard ($320K→$168K saving ~$152K). Standard covers distributed routing, basic micro-segmentation, and load balancing — adequate for 100-app private colo. Enterprise Plus features (multi-site federation, advanced security) not required day one.</t>
  </si>
  <si>
    <t>VMware vCenter Server Standard</t>
  </si>
  <si>
    <t>Central management — prod + non-prod vCenter.</t>
  </si>
  <si>
    <t>UCS infrastructure management.</t>
  </si>
  <si>
    <t>IBM Instana APM — IBM Power monitoring</t>
  </si>
  <si>
    <t>IBM Power performance monitoring.</t>
  </si>
  <si>
    <t>Retained at 8 for dual-room concept. IBM Power servers require 2 racks per stack (physically larger chassis).</t>
  </si>
  <si>
    <t>RIGHT-SIZED: Reduced 200→160 — matches right-sized host count.</t>
  </si>
  <si>
    <t>Management network cabling.</t>
  </si>
  <si>
    <t>RIGHT-SIZED: Reduced 10→8 panels — matches rack count.</t>
  </si>
  <si>
    <t>FC fabric cabling for IBM Power and x86 SAN.</t>
  </si>
  <si>
    <t>RIGHT-SIZED: Adjusted to match right-sized host + switch count.</t>
  </si>
  <si>
    <t>RIGHT-SIZED: Reduced 160→120.</t>
  </si>
  <si>
    <t>FC optics for Cisco MDS and IBM SAN Director.</t>
  </si>
  <si>
    <t>TOTAL ESTIMATED COST — BOM REVISION 3</t>
  </si>
  <si>
    <t>Excludes PLM TBD | Excludes SAP RISE | Excludes WAN circuits | Excludes pro services</t>
  </si>
  <si>
    <t>RIGHT-SIZED vs Rev2 (blue)</t>
  </si>
  <si>
    <t>NEW vs Rev1</t>
  </si>
  <si>
    <t>MODIFIED</t>
  </si>
  <si>
    <t>PARKED / TBD — $0</t>
  </si>
  <si>
    <t>RIGHT-SIZING SUMMARY — REV2 vs REV3</t>
  </si>
  <si>
    <t>Changes applied to x86 compute, network, VMware NSX, load balancing, and WAN routing</t>
  </si>
  <si>
    <t>Rev2 Spec</t>
  </si>
  <si>
    <t>Rev3 Spec (Right-sized)</t>
  </si>
  <si>
    <t>Saving ($)</t>
  </si>
  <si>
    <t>UCS X-Series Chassis</t>
  </si>
  <si>
    <t>3x X9508 @ $84K</t>
  </si>
  <si>
    <t>2x X9508 @ $56K</t>
  </si>
  <si>
    <t>Reduced 3→2 chassis. 16 nodes in 2 chassis adequate for 100-app x86 workloads.</t>
  </si>
  <si>
    <t>UCS X210c M7 Compute Nodes</t>
  </si>
  <si>
    <t>24 nodes @ $528K</t>
  </si>
  <si>
    <t>16 nodes @ $352K</t>
  </si>
  <si>
    <t>Reduced 24→16. 16 nodes = 8TB RAM, ~1,600 cores. Supports ~150-200 VMs for 100 apps across prod/QA/dev.</t>
  </si>
  <si>
    <t>Lenovo SR645 V3 (Stack 1 AMD)</t>
  </si>
  <si>
    <t>8 nodes @ $224K</t>
  </si>
  <si>
    <t>6 nodes @ $168K</t>
  </si>
  <si>
    <t>Reduced 8→6. 3TB RAM, ~600 EPYC cores across Stack 1 — right-sized for MS SQL Always On, PostgreSQL, app tier.</t>
  </si>
  <si>
    <t>Lenovo SR650 V2 (Stack 2 Intel)</t>
  </si>
  <si>
    <t>8 nodes @ $192K</t>
  </si>
  <si>
    <t>6 nodes @ $144K</t>
  </si>
  <si>
    <t>Reduced 8→6. Consistent sizing with Stack 1 for comparable workload profile.</t>
  </si>
  <si>
    <t>Network Core — Nexus 9504 chassis + line cards</t>
  </si>
  <si>
    <t>2x 9504 + 4x line cards @ $190K</t>
  </si>
  <si>
    <t>2x 9336C-FX2 @ $76K</t>
  </si>
  <si>
    <t>Fixed-form 9336C-FX2 replaces modular 9504 chassis. Same 36x100G port density per switch. 9336C-FX2 already used in seller DRP.</t>
  </si>
  <si>
    <t>Network Aggregation Layer</t>
  </si>
  <si>
    <t>6x 93180YC-FX @ $168K</t>
  </si>
  <si>
    <t>Removed — collapsed spine-leaf</t>
  </si>
  <si>
    <t>Dedicated aggregation layer unnecessary at 8-rack scale. ToR switches connect directly to spine. Cleaner and cheaper architecture.</t>
  </si>
  <si>
    <t>Network OOB Catalyst 9300</t>
  </si>
  <si>
    <t>4x @ $48K</t>
  </si>
  <si>
    <t>2x @ $24K</t>
  </si>
  <si>
    <t>Reduced 4→2. 2x OOB switches with uplinks sufficient for 8-rack out-of-band management network.</t>
  </si>
  <si>
    <t>WAN Routers — ASR 1006-X + SIP modules</t>
  </si>
  <si>
    <t>2x ASR1006-X + 4x SIP @ $118K</t>
  </si>
  <si>
    <t>2x ASR1002-HX @ $56K</t>
  </si>
  <si>
    <t>Fixed-form ASR 1002-HX replaces modular chassis. 100Gbps aggregate — adequate for colo WAN uplinks at this scale.</t>
  </si>
  <si>
    <t>F5 Load Balancer</t>
  </si>
  <si>
    <t>2x r5900 @ $80K</t>
  </si>
  <si>
    <t>2x r4600 @ $56K</t>
  </si>
  <si>
    <t>r4600 (25Gbps) vs r5900 (200Gbps+). r5900 is carrier-grade overkill for 100-app private colo.</t>
  </si>
  <si>
    <t>VMware NSX-T</t>
  </si>
  <si>
    <t>Enterprise Plus 64 CPU @ $320K</t>
  </si>
  <si>
    <t>Standard 56 CPU @ $168K</t>
  </si>
  <si>
    <t>Downgrade NSX-T Enterprise Plus → Standard. Standard covers distributed routing + basic micro-seg. Enterprise Plus multi-site/advanced security not required day one.</t>
  </si>
  <si>
    <t>VMware vSphere CPUs</t>
  </si>
  <si>
    <t>64 CPUs @ $381K</t>
  </si>
  <si>
    <t>56 CPUs @ $333K</t>
  </si>
  <si>
    <t>Reduced to match right-sized host count (28 hosts x 2 CPU = 56).</t>
  </si>
  <si>
    <t>TOTAL RIGHT-SIZING SAVING (Rev2 → Rev3)</t>
  </si>
  <si>
    <t>Rev2 total: $5,761,420 → Rev3 est: ~$4,861,770</t>
  </si>
  <si>
    <t>COLOCATION BOM — REVISION 4 | DIVESTITURE TARGET STATE</t>
  </si>
  <si>
    <t>Rev4 changes: UCS removed (SAP→RISE) | IBM Power right-sized | Storage consolidated | SAN Directors→switches | VMware resized</t>
  </si>
  <si>
    <t>UPDATED qty 1→ single unit. Backup infrastructure — DR copy will be hosted in Clichy DRP site (separate scope, TBD).</t>
  </si>
  <si>
    <t>Stack 4 — Oracle STD2 (AIX+PowerHA), HFM (AIX/Oracle) transitioning to Azure, NFS servers. HA pair across dual rooms.</t>
  </si>
  <si>
    <t>UPDATED qty 4→3. 3 servers total (1x E950 Stack 3 + 2x S922 Stack 4).</t>
  </si>
  <si>
    <t>UPDATED qty 4→3. Matches server count.</t>
  </si>
  <si>
    <t>UPDATED qty 1→2. One per room for dual-room LPAR management.</t>
  </si>
  <si>
    <t>Oracle DB Standard Edition (HFM stack)</t>
  </si>
  <si>
    <t>Oracle DB SE2 — 20 cores | HFM transitioning to Azure</t>
  </si>
  <si>
    <t>UPDATED: EE→SE2. HFM is planned to migrate to Azure — validate SE2 compatibility with HFM version before finalising. Retained as placeholder during transition.</t>
  </si>
  <si>
    <t>7D9C-CT01WW — AMD EPYC 9354, 1TB RAM</t>
  </si>
  <si>
    <t>UPDATED: qty 6→8, RAM 512GB→1TB per node. 8 nodes x 1TB = 8TB total RAM. Resized to meet workload memory requirements.</t>
  </si>
  <si>
    <t>PARKED: PLM app layer TBD pending PLM solution selection.</t>
  </si>
  <si>
    <t>Stack 2 — MS SQL standalone, app layer. PBHA storage replication between rooms.</t>
  </si>
  <si>
    <t xml:space="preserve">  ✖  Cisco UCS X9508 Chassis, UCS X210c M7 nodes, UCS 6536 Fabric Interconnects — ALL REMOVED. SAP moves to RISE on Azure. UCS infrastructure not required.</t>
  </si>
  <si>
    <t>Dedicated Commvault media server / backup proxy. 90TB usable DAS — sufficient for short-term disk retention with TS4500 tape for long-term.</t>
  </si>
  <si>
    <t>60-bay JBOD, 20TB NL-SAS per bay (~90TB usable)</t>
  </si>
  <si>
    <t>DAS for Commvault disk-based backup. 90TB usable confirmed sufficient for short-term retention alongside tape.</t>
  </si>
  <si>
    <t xml:space="preserve">  STORAGE — IBM SAN (Consolidated Block Storage — All IBM Power Workloads)</t>
  </si>
  <si>
    <t>IBM FlashSystem 7300 — Shared Block SAN</t>
  </si>
  <si>
    <t>IBM FS7300 NVMe SAN — 1 per room, shared across all IBM Power stacks via LUN zoning</t>
  </si>
  <si>
    <t>UPDATED: Consolidated per client input — 2x FS7300 total (1 per room) serves all IBM Power block storage needs (Stack 3 Storage Protect + Stack 4 Oracle/HFM/NFS). LUN zoning maintains workload separation. FS5300 Stack 3 dedicated array removed — saving $190K.</t>
  </si>
  <si>
    <t>⚠ PLM Storage — IBM FlashSystem (Stack 1)</t>
  </si>
  <si>
    <t>TBD — additional capacity if PLM on-prem</t>
  </si>
  <si>
    <t>PARKED: PLM storage not committed until PLM solution confirmed.</t>
  </si>
  <si>
    <t>Stack 2 FS7300 with PBHA replication between rooms for workloads that cannot replicate at app/DB layer.</t>
  </si>
  <si>
    <t>IBM SAN Switch (FC Fabric)</t>
  </si>
  <si>
    <t>IBM SAN48B-6 (32Gb FC, 48-port) — HA pair</t>
  </si>
  <si>
    <t>UPDATED: SAN Directors (SAN768B-2) replaced with standard IBM SAN48B-6 switches. Director-class overkill at this scale. Saving ~$130K.</t>
  </si>
  <si>
    <t>Cisco FC SAN switches for x86 stack connectivity.</t>
  </si>
  <si>
    <t>Like-for-like — FAS8300 for PLM long-data and shared file storage across applications.</t>
  </si>
  <si>
    <t>Capacity shelves for FAS8300 NAS workloads.</t>
  </si>
  <si>
    <t>Storage OS and data management licensing.</t>
  </si>
  <si>
    <t xml:space="preserve">  NETWORK INFRASTRUCTURE (collapsed spine-leaf)</t>
  </si>
  <si>
    <t>N9K-C9336C-FX2 (36x 100GbE QSFP28) — HA pair</t>
  </si>
  <si>
    <t>Fixed-form spine switches. Right-sized for 8-rack private colo.</t>
  </si>
  <si>
    <t>Collapsed spine-leaf — ToR switches connect directly to spine. No dedicated aggregation layer.</t>
  </si>
  <si>
    <t>Out-of-band management network — 2 switches sufficient for 8-rack OOB.</t>
  </si>
  <si>
    <t>ASR1002-HX (fixed form, 100Gbps aggregate) — HA pair</t>
  </si>
  <si>
    <t>WAN border routers. Fixed-form right-sized for colo WAN uplinks.</t>
  </si>
  <si>
    <t>F5 r4600 (25Gbps throughput) — HA pair</t>
  </si>
  <si>
    <t>Right-sized — r4600 sufficient for 100-app colo workload.</t>
  </si>
  <si>
    <t>3yr support and maintenance.</t>
  </si>
  <si>
    <t>IBM Storage Protect</t>
  </si>
  <si>
    <t>IBM Storage Protect — AIX/Power backup, runs on Stack 3</t>
  </si>
  <si>
    <t>UPDATED: Renamed from IBM SP Plus — product is now IBM Storage Protect. Covers AIX backup for IBM Power Stacks 3 &amp; 4.</t>
  </si>
  <si>
    <t>Long-term retention for Commvault + IBM Storage Protect.</t>
  </si>
  <si>
    <t>IBM LTO-9 FC (18TB native capacity)</t>
  </si>
  <si>
    <t>UPDATED: 12TB→18TB native capacity per drive.</t>
  </si>
  <si>
    <t>LTO-9 cartridge (18TB native / 45TB compressed)</t>
  </si>
  <si>
    <t>vSphere 8 Ent+ (per CPU) — 20 hosts x 2 CPU</t>
  </si>
  <si>
    <t>UPDATED: Reduced 56→40 CPUs. UCS X-Series removed (SAP→RISE). Hosts: 8x SR645 V3 + 6x SR650 V2 + 6x SR650 Stack 4 = 20 hosts x 2 CPU.</t>
  </si>
  <si>
    <t>NSX-T Standard (per CPU) — 20 hosts x 2 CPU</t>
  </si>
  <si>
    <t>UPDATED: Reduced 56→40 CPUs. Matches right-sized vSphere host count.</t>
  </si>
  <si>
    <t>Central management — prod + non-prod vCenter instances.</t>
  </si>
  <si>
    <t>IBM Power performance monitoring and LPAR management layer.</t>
  </si>
  <si>
    <t>Dual-room concept. IBM Power servers require 2 racks per stack.</t>
  </si>
  <si>
    <t>UPDATED: Reduced to match right-sized host count (20 hosts).</t>
  </si>
  <si>
    <t>Fiber distribution — 8 racks.</t>
  </si>
  <si>
    <t>FC fabric cabling for IBM Power and x86 SAN connectivity.</t>
  </si>
  <si>
    <t>UPDATED: Reduced to match right-sized host + switch count.</t>
  </si>
  <si>
    <t>UPDATED: Reduced to match right-sized access layer.</t>
  </si>
  <si>
    <t>Cisco 32G FC SFP+ (MDS + IBM SAN Switch)</t>
  </si>
  <si>
    <t>FC optics for Cisco MDS and IBM SAN switches.</t>
  </si>
  <si>
    <t>TOTAL ESTIMATED COST — BOM REVISION 4</t>
  </si>
  <si>
    <t>MODIFIED from Rev3</t>
  </si>
  <si>
    <t>RIGHT-SIZED</t>
  </si>
  <si>
    <t>BOM REVISION 4 — CHANGE LOG vs. REVISION 3</t>
  </si>
  <si>
    <t>Change</t>
  </si>
  <si>
    <t>Notes / Rationale</t>
  </si>
  <si>
    <t>E950 Server — Stack 3</t>
  </si>
  <si>
    <t>Qty 2 → 1</t>
  </si>
  <si>
    <t>Backup infrastructure. DR copy to go into Clichy DRP site — separate scope, TBD.</t>
  </si>
  <si>
    <t>IBM HMC</t>
  </si>
  <si>
    <t>Qty 1 → 2</t>
  </si>
  <si>
    <t>One HMC per room for proper dual-room LPAR management.</t>
  </si>
  <si>
    <t>Oracle DB Edition — HFM stack</t>
  </si>
  <si>
    <t>Enterprise Edition → Standard Edition 2</t>
  </si>
  <si>
    <t>HFM is planned to migrate to Azure. SE2 retained as placeholder. Validate SE2 compatibility with HFM version before finalising.</t>
  </si>
  <si>
    <t>PowerVM &amp; AIX Licenses</t>
  </si>
  <si>
    <t>Qty 4 → 3</t>
  </si>
  <si>
    <t>Follows server count reduction (E950 qty 1 + S922 qty 2 = 3 servers).</t>
  </si>
  <si>
    <t>Lenovo SR645 V3 — Stack 1</t>
  </si>
  <si>
    <t>Qty 6→8, RAM 512GB→1TB, unit price $28K→$35K</t>
  </si>
  <si>
    <t>8 nodes x 1TB = 8TB total RAM to meet workload memory requirements.</t>
  </si>
  <si>
    <t>Removed entirely</t>
  </si>
  <si>
    <t>UCS X-Series infrastructure not required — SAP moves to RISE on Azure.</t>
  </si>
  <si>
    <t>IBM SAN Director (SAN768B-2)</t>
  </si>
  <si>
    <t>Replaced with IBM SAN48B-6 standard switches</t>
  </si>
  <si>
    <t>Director-class overkill at this scale. IBM SAN48B-6 (32Gb FC, 48-port) HA pair. Saving ~$130K.</t>
  </si>
  <si>
    <t>IBM FlashSystem 7300 — Stack 4</t>
  </si>
  <si>
    <t>Consolidated: 2x FS7300 now serve ALL IBM Power block storage</t>
  </si>
  <si>
    <t>Client input: 2 FS storage bays sufficient for whole block storage. 1x FS7300 per room, shared via LUN zoning across Stack 3 + Stack 4.</t>
  </si>
  <si>
    <t>IBM FlashSystem 5300 — Stack 3</t>
  </si>
  <si>
    <t>Removed — consolidated into shared FS7300</t>
  </si>
  <si>
    <t>Storage Protect workload moves onto shared FS7300. Saving $190K.</t>
  </si>
  <si>
    <t>No VMware on NetApp side. FAS8300 is NAS/file sharing only — runs on NL-SAS capacity shelves, not NVMe.</t>
  </si>
  <si>
    <t>IBM Spectrum Protect (SP Plus)</t>
  </si>
  <si>
    <t>Renamed to IBM Storage Protect</t>
  </si>
  <si>
    <t>SP Plus product name no longer exists. Correct current product name is IBM Storage Protect.</t>
  </si>
  <si>
    <t>No UCS infrastructure in BOM — Intersight management appliance not required.</t>
  </si>
  <si>
    <t>Capacity 12TB → 18TB native</t>
  </si>
  <si>
    <t>Updated to current LTO-9 18TB native capacity specification.</t>
  </si>
  <si>
    <t>VMware vSphere + NSX CPU count</t>
  </si>
  <si>
    <t>Reduced 56 → 40 CPUs</t>
  </si>
  <si>
    <t>UCS X-Series removed. Host count: 8x SR645 + 6x SR650 + 6x SR650 Stack4 = 20 hosts x 2 CPU = 40 CPUs.</t>
  </si>
  <si>
    <t>Fiber Optic AOC + Optics</t>
  </si>
  <si>
    <t>Quantities reduced</t>
  </si>
  <si>
    <t>Reduced to match right-sized host count of 20 hosts.</t>
  </si>
  <si>
    <t>COLOCATION BOM — REVISION 5 | DIVESTITURE TARGET STATE</t>
  </si>
  <si>
    <t>Rev5: Cisco MDS removed (no UCS) | IBM SAN switches qty 2→4 | FC optics right-sized for IBM switches only</t>
  </si>
  <si>
    <t>Single unit. Backup infrastructure — DR copy in Clichy DRP site (separate scope, TBD).</t>
  </si>
  <si>
    <t>Stack 4 — Oracle STD2 (AIX+PowerHA), HFM transitioning to Azure, NFS servers. HA pair.</t>
  </si>
  <si>
    <t>3 servers: 1x E950 Stack 3 + 2x S922 Stack 4.</t>
  </si>
  <si>
    <t>Matches server count of 3.</t>
  </si>
  <si>
    <t>One per room for dual-room LPAR management.</t>
  </si>
  <si>
    <t>SE2 retained as placeholder during HFM Azure migration. Validate SE2 compatibility with HFM version before finalising.</t>
  </si>
  <si>
    <t>8 nodes x 1TB = 8TB total RAM. Right-sized for workload memory requirements.</t>
  </si>
  <si>
    <t xml:space="preserve">  ✖  Cisco UCS X9508, X210c M7 nodes, UCS 6536 FI — ALL REMOVED. SAP moves to RISE on Azure.</t>
  </si>
  <si>
    <t>Dedicated Commvault media server / backup proxy.</t>
  </si>
  <si>
    <t>90TB usable — sufficient for short-term disk retention alongside TS4500 tape.</t>
  </si>
  <si>
    <t>IBM FS7300 NVMe SAN — 1 per room, shared via LUN zoning</t>
  </si>
  <si>
    <t>Consolidated: 1x FS7300 per room serves all IBM Power block storage (Stack 3 + Stack 4) via LUN zoning.</t>
  </si>
  <si>
    <t xml:space="preserve">  STORAGE — IBM SAN (x86 Stack 2)</t>
  </si>
  <si>
    <t xml:space="preserve">  STORAGE — SAN Fabric (IBM Switches Only — Cisco MDS removed)</t>
  </si>
  <si>
    <t>Storage (SAN Fabric)</t>
  </si>
  <si>
    <t>IBM SAN48B-6 Switch</t>
  </si>
  <si>
    <t>IBM SAN48B-6 (32Gb FC, 48-port) — 2 per room, 4 total</t>
  </si>
  <si>
    <t>UPDATED: qty 2→4. 2 per room covering all IBM Power and x86 block storage connectivity. Cisco MDS removed — no UCS infrastructure requires Cisco SAN.</t>
  </si>
  <si>
    <t>Like-for-like — FAS8300 for file storage across applications.</t>
  </si>
  <si>
    <t>Object storage tier — backup offload for IBM Storage Protect.</t>
  </si>
  <si>
    <t>Fixed-form spine switches — right-sized for 8-rack private colo.</t>
  </si>
  <si>
    <t>Collapsed spine-leaf — ToR switches connect directly to spine.</t>
  </si>
  <si>
    <t>Out-of-band management — 2 switches for 8-rack OOB network.</t>
  </si>
  <si>
    <t>WAN border routers — HA pair.</t>
  </si>
  <si>
    <t>Right-sized for 100-app colo workload.</t>
  </si>
  <si>
    <t>Covers AIX backup for IBM Power Stacks 3 &amp; 4.</t>
  </si>
  <si>
    <t>18TB native capacity per drive.</t>
  </si>
  <si>
    <t>Hosts: 8x SR645 V3 + 6x SR650 V2 + 6x SR650 Stack 4 = 20 hosts x 2 CPU = 40 CPUs.</t>
  </si>
  <si>
    <t>Matches vSphere host count — 40 CPUs.</t>
  </si>
  <si>
    <t>Sized for 20-host environment.</t>
  </si>
  <si>
    <t>32Gb FC SFP+ cables 2m — IBM Power + x86 to IBM SAN switches</t>
  </si>
  <si>
    <t>FC fabric cabling for all SAN connectivity via IBM SAN48B-6 switches.</t>
  </si>
  <si>
    <t>Sized for right-sized host + Cisco switch count.</t>
  </si>
  <si>
    <t>Sized for right-sized access layer.</t>
  </si>
  <si>
    <t>IBM SAN Switch FC SFP+ (32Gb)</t>
  </si>
  <si>
    <t>IBM/Broadcom 32Gb FC SFP+ — for IBM SAN48B-6 switches only</t>
  </si>
  <si>
    <t>UPDATED: Renamed from Cisco DS-SFP-FC32G-SW. Sized for 4x IBM SAN48B-6 switches only — Cisco MDS removed. Qty reduced 80→64.</t>
  </si>
  <si>
    <t>TOTAL ESTIMATED COST — BOM REVISION 5</t>
  </si>
  <si>
    <t>MODIFIED from Rev4</t>
  </si>
  <si>
    <t>BOM REVISION 5 — CHANGE LOG vs. REVISION 4</t>
  </si>
  <si>
    <t>Removed entirely — HA pair ($56K)</t>
  </si>
  <si>
    <t>No Cisco UCS in BOM → no Cisco FI → no need for Cisco-attached SAN storage. All FC connectivity now via IBM SAN48B-6 switches. Client and team agreed.</t>
  </si>
  <si>
    <t>Qty 2 → 4 (2 per room)</t>
  </si>
  <si>
    <t>Increased to cover all SAN connectivity — IBM Power and x86 block storage — across both rooms. Previously sized for IBM Power only.</t>
  </si>
  <si>
    <t>FC SFP+ Optics</t>
  </si>
  <si>
    <t>Qty 80→64 | Renamed from Cisco DS-SFP-FC32G-SW to IBM SAN Switch FC SFP+</t>
  </si>
  <si>
    <t>Cisco MDS removed — optics no longer need to be Cisco-compatible. Resized for 4x IBM SAN48B-6 switches only. Qty reduced accordingly.</t>
  </si>
  <si>
    <t>BOM REV5 — HARDWARE vs. SOFTWARE / LICENSING SPLIT</t>
  </si>
  <si>
    <t>Updated for Rev5 | Cisco MDS removed | IBM SAN48B-6 x4 | FC optics right-sized | 43 live BOM lines classified</t>
  </si>
  <si>
    <t>HARDWARE:  $2,700,380</t>
  </si>
  <si>
    <t>SOFTWARE / LICENSING:  $843,500</t>
  </si>
  <si>
    <t>BUNDLED:  $95,000   |   GRAND TOTAL:  $3,638,880</t>
  </si>
  <si>
    <t>Specification</t>
  </si>
  <si>
    <t>Unit ($)</t>
  </si>
  <si>
    <t>Type</t>
  </si>
  <si>
    <t>Route</t>
  </si>
  <si>
    <t>Procurement Note</t>
  </si>
  <si>
    <t>9040-MR9 (2-socket PowerVM)</t>
  </si>
  <si>
    <t>HARDWARE</t>
  </si>
  <si>
    <t>IBM BP</t>
  </si>
  <si>
    <t>IBM Power hardware — IBM Business Partner only. Not CDW.</t>
  </si>
  <si>
    <t>9009-22A (2-socket PowerVM)</t>
  </si>
  <si>
    <t>PowerVM Ent (per server)</t>
  </si>
  <si>
    <t>SOFTWARE</t>
  </si>
  <si>
    <t>IBM Direct</t>
  </si>
  <si>
    <t>IBM virtualisation licensing — IBM direct or IBM BP.</t>
  </si>
  <si>
    <t>OS licensing — IBM direct or IBM BP.</t>
  </si>
  <si>
    <t>Management software — IBM direct.</t>
  </si>
  <si>
    <t>Oracle DB SE2 — 20 cores</t>
  </si>
  <si>
    <t>Oracle Direct</t>
  </si>
  <si>
    <t>Oracle licensing — Oracle direct or LAR ONLY. Do not procure through CDW.</t>
  </si>
  <si>
    <t>CDW / Lenovo</t>
  </si>
  <si>
    <t>Lenovo server hardware — CDW or Lenovo direct.</t>
  </si>
  <si>
    <t>7Z73-CT01WW — Intel Xeon Platinum, 512GB</t>
  </si>
  <si>
    <t>7X06-CTO1WW — Intel Xeon, 256GB, DAS</t>
  </si>
  <si>
    <t>Direct-Attached Storage (DAS)</t>
  </si>
  <si>
    <t>60-bay JBOD, 20TB NL-SAS (~90TB usable)</t>
  </si>
  <si>
    <t>DAS storage hardware — CDW or Lenovo direct.</t>
  </si>
  <si>
    <t>IBM FS7300 NVMe SAN — 1 per room</t>
  </si>
  <si>
    <t>IBM enterprise storage — IBM Business Partner only. Not CDW.</t>
  </si>
  <si>
    <t>IBM FlashSystem 7300 — Stack 2</t>
  </si>
  <si>
    <t>IBM FS7300 NVMe SAN — PBHA replication</t>
  </si>
  <si>
    <t>IBM SAN48B-6 (32Gb FC, 48-port) x4</t>
  </si>
  <si>
    <t>IBM SAN switches — IBM Business Partner. 2 per room.</t>
  </si>
  <si>
    <t>CDW / NetApp</t>
  </si>
  <si>
    <t>NetApp hardware — CDW or NetApp partner.</t>
  </si>
  <si>
    <t>DS460C (60x 14TB NL-SAS)</t>
  </si>
  <si>
    <t>NetApp storage shelves — CDW or NetApp partner.</t>
  </si>
  <si>
    <t>CDW SW / NetApp</t>
  </si>
  <si>
    <t>NetApp software — typically bundled with hardware quote.</t>
  </si>
  <si>
    <t>Accesser (2n) + Slicetor (4n) + JBOD</t>
  </si>
  <si>
    <t>BUNDLED</t>
  </si>
  <si>
    <t>Bundled HW+SW — IBM Business Partner only. Cannot split pricing.</t>
  </si>
  <si>
    <t>N9K-C9336C-FX2 — HA pair</t>
  </si>
  <si>
    <t>CDW Cisco</t>
  </si>
  <si>
    <t>Cisco hardware — CDW Cisco partner.</t>
  </si>
  <si>
    <t>N9K-C93180YC-FX — 8x ToR</t>
  </si>
  <si>
    <t>ASR1002-HX — HA pair</t>
  </si>
  <si>
    <t>IOLAN STS16 (16-port) — 8 units</t>
  </si>
  <si>
    <t>CDW / Perle</t>
  </si>
  <si>
    <t>Hardware — CDW or Perle direct.</t>
  </si>
  <si>
    <t>FPR4150-NGFW-K9 — 2x HA pairs</t>
  </si>
  <si>
    <t>F5 r4600 — HA pair</t>
  </si>
  <si>
    <t>CDW / F5</t>
  </si>
  <si>
    <t>F5 hardware — CDW or F5 partner.</t>
  </si>
  <si>
    <t>Commvault Universal License (per TB)</t>
  </si>
  <si>
    <t>CDW SW / Commvault</t>
  </si>
  <si>
    <t>Software licensing — CDW Software or Commvault direct. Check PE portfolio for existing EA.</t>
  </si>
  <si>
    <t>22% annual maintenance</t>
  </si>
  <si>
    <t>3yr maintenance — same route as license.</t>
  </si>
  <si>
    <t>IBM Storage Protect — AIX/Power backup</t>
  </si>
  <si>
    <t>IBM software — IBM direct or IBM BP. Required for AIX backup.</t>
  </si>
  <si>
    <t>IBM TS4500 (LTO-9, 100-slot)</t>
  </si>
  <si>
    <t>IBM tape hardware — IBM Business Partner.</t>
  </si>
  <si>
    <t>IBM LTO-9 FC (18TB native)</t>
  </si>
  <si>
    <t>IBM tape drives — IBM Business Partner.</t>
  </si>
  <si>
    <t>LTO-9 cartridge (18TB/45TB compressed)</t>
  </si>
  <si>
    <t>CDW / IBM BP</t>
  </si>
  <si>
    <t>Tape media consumable — CDW or IBM BP.</t>
  </si>
  <si>
    <t>vSphere 8 Ent+ (per CPU) — 40 CPUs</t>
  </si>
  <si>
    <t>CDW SW / Broadcom</t>
  </si>
  <si>
    <t>Validate current Broadcom SKU availability post-acquisition.</t>
  </si>
  <si>
    <t>NSX-T Standard (per CPU) — 40 CPUs</t>
  </si>
  <si>
    <t>VMware licensing — CDW Software or Broadcom direct.</t>
  </si>
  <si>
    <t>IBM Instana APM</t>
  </si>
  <si>
    <t>IBM software — IBM direct.</t>
  </si>
  <si>
    <t>CDW / APC</t>
  </si>
  <si>
    <t>Hardware — CDW or APC direct.</t>
  </si>
  <si>
    <t>25G SFP28 AOC 5m</t>
  </si>
  <si>
    <t>CDW</t>
  </si>
  <si>
    <t>Cabling — CDW.</t>
  </si>
  <si>
    <t>Cat6A patch cable 2m</t>
  </si>
  <si>
    <t>Hardware — CDW.</t>
  </si>
  <si>
    <t>32Gb FC SFP+ cables 2m</t>
  </si>
  <si>
    <t>FC cabling — CDW or IBM BP.</t>
  </si>
  <si>
    <t>Cisco optics — CDW Cisco partner.</t>
  </si>
  <si>
    <t>Broadcom 32Gb FC SFP+ for SAN48B-6</t>
  </si>
  <si>
    <t>FC optics for IBM SAN48B-6 — IBM Business Partner.</t>
  </si>
  <si>
    <t>HARDWARE SUBTOTAL</t>
  </si>
  <si>
    <t>→ CDW: Cisco, Lenovo, NetApp, F5, APC, cabling/optics, tape media | IBM BP: Power servers, FlashSystem, SAN48B-6, TS4500, FC optics</t>
  </si>
  <si>
    <t>SOFTWARE / LICENSING SUBTOTAL</t>
  </si>
  <si>
    <t>→ CDW SW: VMware, Commvault, NetApp ONTAP | IBM Direct: PowerVM, AIX, Storage Protect, HMC, Instana | Oracle Direct: Oracle SE2</t>
  </si>
  <si>
    <t>BUNDLED HW+SW SUBTOTAL</t>
  </si>
  <si>
    <t>→ IBM COS/Spectrum Scale — IBM BP only. Cannot split HW/SW pricing.</t>
  </si>
  <si>
    <t>GRAND TOTAL — BOM REV5 (excl. PLM TBD, SAP RISE, WAN circuits)</t>
  </si>
  <si>
    <t>PROCUREMENT ROUTING GUIDE — REV5</t>
  </si>
  <si>
    <t>CDW — Primary RFQ (Hardware)</t>
  </si>
  <si>
    <t>Cisco: Nexus 9336C-FX2, 93180YC-FX, Catalyst 9300, ASR 1002-HX, Firepower 4150, 25G/10G optics | Lenovo: SR645 V3 (x8), SR650 V2 (x6), SR650 Stack4 (x2), DAS (x2) | NetApp: FAS8300, DS460C shelves | F5 r4600 | APC racks/PDUs | Perle console servers | Cabling, patch panels, tape media</t>
  </si>
  <si>
    <t>CDW Software Desk</t>
  </si>
  <si>
    <t>VMware vSphere Ent+ (40 CPU) | NSX-T Standard (40 CPU) | vCenter Standard (2x) | Commvault Complete B&amp;R + 3yr maintenance | NetApp ONTAP Standard Bundle. NOTE: Validate Broadcom/VMware SKU availability — commercial model changed post-acquisition.</t>
  </si>
  <si>
    <t>IBM Business Partner — Separate RFQ</t>
  </si>
  <si>
    <t>IBM Power: E950 (x1), S922 (x2) | IBM FlashSystem 7300 (x4 total — 2 shared block SAN + 2 Stack2) | IBM SAN48B-6 FC switches (x4, 2 per room) | IBM SAN FC SFP+ optics (x64) | IBM TS4500 tape library + LTO-9 drives (x4) | IBM COS/Spectrum Scale cluster | FC SAN cabling</t>
  </si>
  <si>
    <t>IBM Direct — Software/Licensing</t>
  </si>
  <si>
    <t>PowerVM Enterprise License (x3) | AIX 7.3 (x3) | HMC v10 Virtual Appliance (x2) | IBM Storage Protect | IBM Instana APM. Procure via IBM or IBM BP — not CDW.</t>
  </si>
  <si>
    <t>Oracle Direct / LAR Only</t>
  </si>
  <si>
    <t>Oracle DB SE2 (HFM placeholder). MUST go Oracle direct or Licensed Oracle Reseller. Do NOT use CDW. Validate SE2 compatibility with HFM version. Confirm core count with Oracle LMS before PO — material cost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</si>
</sst>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1"/>
    </font>
    <font>
      <b/>
      <sz val="13"/>
      <color rgb="FFFFFFFF"/>
      <name val="Arial"/>
      <charset val="1"/>
    </font>
    <font>
      <b/>
      <sz val="10"/>
      <color rgb="FFFFFFFF"/>
      <name val="Arial"/>
      <charset val="1"/>
    </font>
    <font>
      <b/>
      <sz val="10"/>
      <color rgb="FF000000"/>
      <name val="Arial"/>
      <charset val="1"/>
    </font>
    <font>
      <sz val="9"/>
      <color rgb="FF000000"/>
      <name val="Arial"/>
      <charset val="1"/>
    </font>
    <font>
      <b/>
      <sz val="10"/>
      <color rgb="FFC00000"/>
      <name val="Arial"/>
      <charset val="1"/>
    </font>
    <font>
      <b/>
      <sz val="10"/>
      <color rgb="FF7F4F00"/>
      <name val="Arial"/>
      <charset val="1"/>
    </font>
    <font>
      <b/>
      <sz val="10"/>
      <color rgb="FF17375E"/>
      <name val="Arial"/>
      <charset val="1"/>
    </font>
    <font>
      <b/>
      <sz val="10"/>
      <color rgb="FF404040"/>
      <name val="Arial"/>
      <charset val="1"/>
    </font>
    <font>
      <b/>
      <sz val="10"/>
      <color rgb="FF1A5E20"/>
      <name val="Arial"/>
      <charset val="1"/>
    </font>
    <font>
      <sz val="10"/>
      <color rgb="FF000000"/>
      <name val="Arial"/>
      <charset val="1"/>
    </font>
    <font>
      <sz val="10"/>
      <name val="Arial"/>
      <charset val="1"/>
    </font>
    <font>
      <b/>
      <sz val="10"/>
      <name val="Arial"/>
      <charset val="1"/>
    </font>
    <font>
      <sz val="10"/>
      <color rgb="FF7F4F00"/>
      <name val="Arial"/>
      <charset val="1"/>
    </font>
    <font>
      <i/>
      <sz val="10"/>
      <color rgb="FFC00000"/>
      <name val="Arial"/>
      <charset val="1"/>
    </font>
    <font>
      <b/>
      <sz val="11"/>
      <color rgb="FFFFFFFF"/>
      <name val="Arial"/>
      <charset val="1"/>
    </font>
    <font>
      <b/>
      <sz val="12"/>
      <color rgb="FFFFFFFF"/>
      <name val="Arial"/>
      <charset val="1"/>
    </font>
    <font>
      <b/>
      <sz val="9"/>
      <color rgb="FFFFFFFF"/>
      <name val="Arial"/>
      <charset val="1"/>
    </font>
    <font>
      <b/>
      <sz val="9"/>
      <color rgb="FF000000"/>
      <name val="Arial"/>
      <charset val="1"/>
    </font>
    <font>
      <b/>
      <sz val="10"/>
      <color rgb="FF1F4E79"/>
      <name val="Arial"/>
      <charset val="1"/>
    </font>
    <font>
      <b/>
      <sz val="9"/>
      <color rgb="FF1F4E79"/>
      <name val="Arial"/>
      <charset val="1"/>
    </font>
    <font>
      <b/>
      <sz val="11"/>
      <color rgb="FF1A5E20"/>
      <name val="Arial"/>
      <charset val="1"/>
    </font>
    <font>
      <b/>
      <sz val="9"/>
      <color rgb="FFC00000"/>
      <name val="Arial"/>
      <charset val="1"/>
    </font>
    <font>
      <b/>
      <sz val="9"/>
      <color rgb="FF375623"/>
      <name val="Arial"/>
      <charset val="1"/>
    </font>
    <font>
      <b/>
      <sz val="9"/>
      <color rgb="FF1A5E20"/>
      <name val="Arial"/>
      <charset val="1"/>
    </font>
    <font>
      <b/>
      <sz val="9"/>
      <color rgb="FF7F4F00"/>
      <name val="Arial"/>
      <charset val="1"/>
    </font>
    <font>
      <b/>
      <sz val="10"/>
      <color rgb="FF1F3864"/>
      <name val="Arial"/>
      <charset val="1"/>
    </font>
  </fonts>
  <fills count="19">
    <fill>
      <patternFill patternType="none"/>
    </fill>
    <fill>
      <patternFill patternType="gray125"/>
    </fill>
    <fill>
      <patternFill patternType="solid">
        <fgColor rgb="FF1F3864"/>
        <bgColor rgb="FF17375E"/>
      </patternFill>
    </fill>
    <fill>
      <patternFill patternType="solid">
        <fgColor rgb="FF2E75B6"/>
        <bgColor rgb="FF008080"/>
      </patternFill>
    </fill>
    <fill>
      <patternFill patternType="solid">
        <fgColor rgb="FFFCE4D6"/>
        <bgColor rgb="FFFFF2CC"/>
      </patternFill>
    </fill>
    <fill>
      <patternFill patternType="solid">
        <fgColor rgb="FFFFF2CC"/>
        <bgColor rgb="FFFCE4D6"/>
      </patternFill>
    </fill>
    <fill>
      <patternFill patternType="solid">
        <fgColor rgb="FFBDD7EE"/>
        <bgColor rgb="FFBBBBBB"/>
      </patternFill>
    </fill>
    <fill>
      <patternFill patternType="solid">
        <fgColor rgb="FFF2F2F2"/>
        <bgColor rgb="FFEBF3FB"/>
      </patternFill>
    </fill>
    <fill>
      <patternFill patternType="solid">
        <fgColor rgb="FFE2EFDA"/>
        <bgColor rgb="FFF2F2F2"/>
      </patternFill>
    </fill>
    <fill>
      <patternFill patternType="solid">
        <fgColor rgb="FF344F6B"/>
        <bgColor rgb="FF1F4E79"/>
      </patternFill>
    </fill>
    <fill>
      <patternFill patternType="solid">
        <fgColor rgb="FFFFFFFF"/>
        <bgColor rgb="FFFFFBF0"/>
      </patternFill>
    </fill>
    <fill>
      <patternFill patternType="solid">
        <fgColor rgb="FFEBF3FB"/>
        <bgColor rgb="FFEAF4FB"/>
      </patternFill>
    </fill>
    <fill>
      <patternFill patternType="solid">
        <fgColor rgb="FFEAF4FB"/>
        <bgColor rgb="FFEBF3FB"/>
      </patternFill>
    </fill>
    <fill>
      <patternFill patternType="solid">
        <fgColor rgb="FF1F4E79"/>
        <bgColor rgb="FF344F6B"/>
      </patternFill>
    </fill>
    <fill>
      <patternFill patternType="solid">
        <fgColor rgb="FF375623"/>
        <bgColor rgb="FF1A5E20"/>
      </patternFill>
    </fill>
    <fill>
      <patternFill patternType="solid">
        <fgColor rgb="FF7F4F00"/>
        <bgColor rgb="FF808000"/>
      </patternFill>
    </fill>
    <fill>
      <patternFill patternType="solid">
        <fgColor rgb="FFF0F7FD"/>
        <bgColor rgb="FFEAF4FB"/>
      </patternFill>
    </fill>
    <fill>
      <patternFill patternType="solid">
        <fgColor rgb="FFF3FAF0"/>
        <bgColor rgb="FFF0F7FD"/>
      </patternFill>
    </fill>
    <fill>
      <patternFill patternType="solid">
        <fgColor rgb="FFFFFBF0"/>
        <bgColor rgb="FFFFFFFF"/>
      </patternFill>
    </fill>
  </fills>
  <borders count="5">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65">
    <xf numFmtId="0" fontId="0" fillId="0" borderId="0" xfId="0"/>
    <xf numFmtId="0" fontId="15" fillId="15" borderId="0" xfId="0" applyFont="1" applyFill="1" applyAlignment="1">
      <alignment horizontal="left" vertical="center" wrapText="1"/>
    </xf>
    <xf numFmtId="0" fontId="15" fillId="14" borderId="0" xfId="0" applyFont="1" applyFill="1" applyAlignment="1">
      <alignment horizontal="left" vertical="center" wrapText="1"/>
    </xf>
    <xf numFmtId="0" fontId="15" fillId="13" borderId="0" xfId="0" applyFont="1" applyFill="1" applyAlignment="1">
      <alignment horizontal="left" vertical="center" wrapText="1"/>
    </xf>
    <xf numFmtId="0" fontId="15" fillId="2" borderId="4" xfId="0" applyFont="1" applyFill="1" applyBorder="1" applyAlignment="1">
      <alignment horizontal="right" vertical="center" wrapText="1"/>
    </xf>
    <xf numFmtId="0" fontId="14" fillId="4" borderId="4" xfId="0" applyFont="1" applyFill="1" applyBorder="1" applyAlignment="1">
      <alignment horizontal="left" vertical="center" wrapText="1"/>
    </xf>
    <xf numFmtId="0" fontId="2" fillId="9" borderId="4" xfId="0" applyFont="1" applyFill="1" applyBorder="1" applyAlignment="1">
      <alignment horizontal="left" vertical="center" wrapText="1"/>
    </xf>
    <xf numFmtId="0" fontId="3" fillId="0" borderId="0" xfId="0" applyFont="1" applyAlignment="1">
      <alignment horizontal="left" vertical="center" wrapText="1"/>
    </xf>
    <xf numFmtId="0" fontId="15" fillId="2" borderId="1" xfId="0" applyFont="1" applyFill="1" applyBorder="1" applyAlignment="1">
      <alignment horizontal="right" vertical="center" wrapText="1"/>
    </xf>
    <xf numFmtId="0" fontId="14" fillId="4"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2" fillId="9" borderId="1" xfId="0" applyFont="1" applyFill="1" applyBorder="1" applyAlignment="1">
      <alignment horizontal="left" vertical="center"/>
    </xf>
    <xf numFmtId="0" fontId="0" fillId="0" borderId="2" xfId="0" applyBorder="1"/>
    <xf numFmtId="0" fontId="0" fillId="0" borderId="3" xfId="0" applyBorder="1"/>
    <xf numFmtId="0" fontId="4" fillId="1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3" fontId="11" fillId="10" borderId="1" xfId="0" applyNumberFormat="1" applyFont="1" applyFill="1" applyBorder="1" applyAlignment="1">
      <alignment horizontal="right" vertical="center"/>
    </xf>
    <xf numFmtId="3" fontId="12" fillId="10" borderId="1" xfId="0" applyNumberFormat="1" applyFont="1" applyFill="1" applyBorder="1" applyAlignment="1">
      <alignment horizontal="right" vertical="center"/>
    </xf>
    <xf numFmtId="0" fontId="13"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3" fontId="11" fillId="5" borderId="1" xfId="0" applyNumberFormat="1" applyFont="1" applyFill="1" applyBorder="1" applyAlignment="1">
      <alignment horizontal="right" vertical="center"/>
    </xf>
    <xf numFmtId="3" fontId="12" fillId="5" borderId="1" xfId="0" applyNumberFormat="1" applyFont="1" applyFill="1" applyBorder="1" applyAlignment="1">
      <alignment horizontal="right" vertical="center"/>
    </xf>
    <xf numFmtId="0" fontId="5"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3" fontId="11" fillId="4" borderId="1" xfId="0" applyNumberFormat="1" applyFont="1" applyFill="1" applyBorder="1" applyAlignment="1">
      <alignment horizontal="right" vertical="center"/>
    </xf>
    <xf numFmtId="3" fontId="12" fillId="4" borderId="1" xfId="0" applyNumberFormat="1" applyFont="1" applyFill="1" applyBorder="1" applyAlignment="1">
      <alignment horizontal="right" vertical="center"/>
    </xf>
    <xf numFmtId="0" fontId="14" fillId="4"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3" fontId="11" fillId="8" borderId="1" xfId="0" applyNumberFormat="1" applyFont="1" applyFill="1" applyBorder="1" applyAlignment="1">
      <alignment horizontal="right" vertical="center"/>
    </xf>
    <xf numFmtId="3" fontId="12" fillId="8" borderId="1" xfId="0" applyNumberFormat="1" applyFont="1" applyFill="1" applyBorder="1" applyAlignment="1">
      <alignment horizontal="right" vertical="center"/>
    </xf>
    <xf numFmtId="0" fontId="15" fillId="2" borderId="1" xfId="0" applyFont="1" applyFill="1" applyBorder="1" applyAlignment="1">
      <alignment horizontal="right" vertical="center"/>
    </xf>
    <xf numFmtId="3" fontId="16" fillId="2" borderId="1" xfId="0" applyNumberFormat="1" applyFont="1" applyFill="1" applyBorder="1" applyAlignment="1">
      <alignment horizontal="right" vertical="center"/>
    </xf>
    <xf numFmtId="0" fontId="17" fillId="2" borderId="1" xfId="0" applyFont="1" applyFill="1" applyBorder="1" applyAlignment="1">
      <alignment horizontal="left" vertical="center"/>
    </xf>
    <xf numFmtId="0" fontId="3" fillId="0" borderId="0" xfId="0" applyFont="1" applyAlignment="1">
      <alignment horizontal="left" vertical="center" wrapText="1"/>
    </xf>
    <xf numFmtId="0" fontId="18" fillId="8" borderId="0" xfId="0" applyFont="1" applyFill="1" applyAlignment="1">
      <alignment horizontal="center" vertical="center" wrapText="1"/>
    </xf>
    <xf numFmtId="0" fontId="18" fillId="5" borderId="0" xfId="0" applyFont="1" applyFill="1" applyAlignment="1">
      <alignment horizontal="center" vertical="center" wrapText="1"/>
    </xf>
    <xf numFmtId="0" fontId="18" fillId="10" borderId="0" xfId="0" applyFont="1" applyFill="1" applyAlignment="1">
      <alignment horizontal="center" vertical="center" wrapText="1"/>
    </xf>
    <xf numFmtId="0" fontId="18" fillId="4" borderId="0" xfId="0" applyFont="1" applyFill="1" applyAlignment="1">
      <alignment horizontal="center" vertical="center" wrapText="1"/>
    </xf>
    <xf numFmtId="0" fontId="3" fillId="10"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3" fontId="11" fillId="11" borderId="1" xfId="0" applyNumberFormat="1" applyFont="1" applyFill="1" applyBorder="1" applyAlignment="1">
      <alignment horizontal="right" vertical="center"/>
    </xf>
    <xf numFmtId="3" fontId="12" fillId="11" borderId="1" xfId="0" applyNumberFormat="1" applyFont="1" applyFill="1" applyBorder="1" applyAlignment="1">
      <alignment horizontal="right" vertical="center"/>
    </xf>
    <xf numFmtId="0" fontId="17" fillId="2" borderId="1" xfId="0" applyFont="1" applyFill="1" applyBorder="1" applyAlignment="1">
      <alignment horizontal="left" vertical="center" wrapText="1"/>
    </xf>
    <xf numFmtId="0" fontId="20" fillId="11" borderId="0" xfId="0" applyFont="1" applyFill="1" applyAlignment="1">
      <alignment horizontal="center" vertical="center" wrapText="1"/>
    </xf>
    <xf numFmtId="0" fontId="3" fillId="11" borderId="1" xfId="0" applyFont="1" applyFill="1" applyBorder="1" applyAlignment="1">
      <alignment horizontal="left" vertical="center" wrapText="1"/>
    </xf>
    <xf numFmtId="0" fontId="20" fillId="11" borderId="1" xfId="0" applyFont="1" applyFill="1" applyBorder="1" applyAlignment="1">
      <alignment horizontal="left" vertical="center" wrapText="1"/>
    </xf>
    <xf numFmtId="3" fontId="21" fillId="11" borderId="1" xfId="0" applyNumberFormat="1" applyFont="1" applyFill="1" applyBorder="1" applyAlignment="1">
      <alignment horizontal="right" vertical="center"/>
    </xf>
    <xf numFmtId="0" fontId="3" fillId="12"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20" fillId="12" borderId="1" xfId="0" applyFont="1" applyFill="1" applyBorder="1" applyAlignment="1">
      <alignment horizontal="left" vertical="center" wrapText="1"/>
    </xf>
    <xf numFmtId="3" fontId="21" fillId="12" borderId="1" xfId="0" applyNumberFormat="1" applyFont="1" applyFill="1" applyBorder="1" applyAlignment="1">
      <alignment horizontal="right" vertical="center"/>
    </xf>
    <xf numFmtId="3" fontId="1" fillId="2" borderId="1" xfId="0" applyNumberFormat="1" applyFont="1" applyFill="1" applyBorder="1" applyAlignment="1">
      <alignment horizontal="right" vertical="center"/>
    </xf>
    <xf numFmtId="0" fontId="2" fillId="2" borderId="1" xfId="0" applyFont="1" applyFill="1" applyBorder="1" applyAlignment="1">
      <alignment horizontal="left" vertical="center" wrapText="1"/>
    </xf>
    <xf numFmtId="0" fontId="2" fillId="3" borderId="4"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10" fillId="5" borderId="4" xfId="0" applyFont="1" applyFill="1" applyBorder="1" applyAlignment="1">
      <alignment horizontal="center" vertical="center" wrapText="1"/>
    </xf>
    <xf numFmtId="3" fontId="11" fillId="5" borderId="4" xfId="0" applyNumberFormat="1" applyFont="1" applyFill="1" applyBorder="1" applyAlignment="1">
      <alignment horizontal="right" vertical="center"/>
    </xf>
    <xf numFmtId="3" fontId="12" fillId="5" borderId="4" xfId="0" applyNumberFormat="1" applyFont="1" applyFill="1" applyBorder="1" applyAlignment="1">
      <alignment horizontal="right" vertical="center"/>
    </xf>
    <xf numFmtId="0" fontId="4" fillId="10" borderId="4"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10" fillId="10" borderId="4" xfId="0" applyFont="1" applyFill="1" applyBorder="1" applyAlignment="1">
      <alignment horizontal="center" vertical="center" wrapText="1"/>
    </xf>
    <xf numFmtId="3" fontId="11" fillId="10" borderId="4" xfId="0" applyNumberFormat="1" applyFont="1" applyFill="1" applyBorder="1" applyAlignment="1">
      <alignment horizontal="right" vertical="center"/>
    </xf>
    <xf numFmtId="3" fontId="12" fillId="10" borderId="4" xfId="0" applyNumberFormat="1" applyFont="1" applyFill="1" applyBorder="1" applyAlignment="1">
      <alignment horizontal="right" vertical="center"/>
    </xf>
    <xf numFmtId="0" fontId="4" fillId="4" borderId="4" xfId="0" applyFont="1" applyFill="1" applyBorder="1" applyAlignment="1">
      <alignment horizontal="left" vertical="center" wrapText="1"/>
    </xf>
    <xf numFmtId="0" fontId="5" fillId="4" borderId="4" xfId="0" applyFont="1" applyFill="1" applyBorder="1" applyAlignment="1">
      <alignment horizontal="left" vertical="center" wrapText="1"/>
    </xf>
    <xf numFmtId="0" fontId="10" fillId="4" borderId="4" xfId="0" applyFont="1" applyFill="1" applyBorder="1" applyAlignment="1">
      <alignment horizontal="center" vertical="center" wrapText="1"/>
    </xf>
    <xf numFmtId="3" fontId="11" fillId="4" borderId="4" xfId="0" applyNumberFormat="1" applyFont="1" applyFill="1" applyBorder="1" applyAlignment="1">
      <alignment horizontal="right" vertical="center"/>
    </xf>
    <xf numFmtId="3" fontId="12" fillId="4" borderId="4" xfId="0" applyNumberFormat="1" applyFont="1" applyFill="1" applyBorder="1" applyAlignment="1">
      <alignment horizontal="right" vertical="center"/>
    </xf>
    <xf numFmtId="0" fontId="4" fillId="8" borderId="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10" fillId="8" borderId="4" xfId="0" applyFont="1" applyFill="1" applyBorder="1" applyAlignment="1">
      <alignment horizontal="center" vertical="center" wrapText="1"/>
    </xf>
    <xf numFmtId="3" fontId="11" fillId="8" borderId="4" xfId="0" applyNumberFormat="1" applyFont="1" applyFill="1" applyBorder="1" applyAlignment="1">
      <alignment horizontal="right" vertical="center"/>
    </xf>
    <xf numFmtId="3" fontId="12" fillId="8" borderId="4" xfId="0" applyNumberFormat="1" applyFont="1" applyFill="1" applyBorder="1" applyAlignment="1">
      <alignment horizontal="right" vertical="center"/>
    </xf>
    <xf numFmtId="0" fontId="4" fillId="11" borderId="4"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0" fillId="11" borderId="4" xfId="0" applyFont="1" applyFill="1" applyBorder="1" applyAlignment="1">
      <alignment horizontal="center" vertical="center" wrapText="1"/>
    </xf>
    <xf numFmtId="3" fontId="11" fillId="11" borderId="4" xfId="0" applyNumberFormat="1" applyFont="1" applyFill="1" applyBorder="1" applyAlignment="1">
      <alignment horizontal="right" vertical="center"/>
    </xf>
    <xf numFmtId="3" fontId="12" fillId="11" borderId="4" xfId="0" applyNumberFormat="1" applyFont="1" applyFill="1" applyBorder="1" applyAlignment="1">
      <alignment horizontal="right" vertical="center"/>
    </xf>
    <xf numFmtId="3" fontId="16" fillId="2" borderId="4" xfId="0" applyNumberFormat="1" applyFont="1" applyFill="1" applyBorder="1" applyAlignment="1">
      <alignment horizontal="right" vertical="center"/>
    </xf>
    <xf numFmtId="0" fontId="17" fillId="2" borderId="4" xfId="0" applyFont="1" applyFill="1" applyBorder="1" applyAlignment="1">
      <alignment horizontal="left" vertical="center" wrapText="1"/>
    </xf>
    <xf numFmtId="0" fontId="3" fillId="5" borderId="4"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3" fillId="4" borderId="4" xfId="0" applyFont="1" applyFill="1" applyBorder="1" applyAlignment="1">
      <alignment horizontal="left" vertical="center" wrapText="1"/>
    </xf>
    <xf numFmtId="0" fontId="5" fillId="4" borderId="4" xfId="0" applyFont="1" applyFill="1" applyBorder="1" applyAlignment="1">
      <alignment horizontal="center" vertical="center" wrapText="1"/>
    </xf>
    <xf numFmtId="0" fontId="4" fillId="16" borderId="4" xfId="0" applyFont="1" applyFill="1" applyBorder="1" applyAlignment="1">
      <alignment horizontal="left" vertical="center" wrapText="1"/>
    </xf>
    <xf numFmtId="0" fontId="10" fillId="16" borderId="4" xfId="0" applyFont="1" applyFill="1" applyBorder="1" applyAlignment="1">
      <alignment horizontal="left" vertical="center" wrapText="1"/>
    </xf>
    <xf numFmtId="0" fontId="10" fillId="16" borderId="4" xfId="0" applyFont="1" applyFill="1" applyBorder="1" applyAlignment="1">
      <alignment horizontal="center" vertical="center" wrapText="1"/>
    </xf>
    <xf numFmtId="3" fontId="10" fillId="16" borderId="4" xfId="0" applyNumberFormat="1" applyFont="1" applyFill="1" applyBorder="1" applyAlignment="1">
      <alignment horizontal="right" vertical="center"/>
    </xf>
    <xf numFmtId="3" fontId="3" fillId="16" borderId="4" xfId="0" applyNumberFormat="1" applyFont="1" applyFill="1" applyBorder="1" applyAlignment="1">
      <alignment horizontal="right" vertical="center"/>
    </xf>
    <xf numFmtId="0" fontId="20" fillId="16" borderId="4" xfId="0" applyFont="1" applyFill="1" applyBorder="1" applyAlignment="1">
      <alignment horizontal="center" vertical="center" wrapText="1"/>
    </xf>
    <xf numFmtId="0" fontId="22" fillId="16" borderId="4" xfId="0" applyFont="1" applyFill="1" applyBorder="1" applyAlignment="1">
      <alignment horizontal="center" vertical="center" wrapText="1"/>
    </xf>
    <xf numFmtId="0" fontId="10" fillId="11" borderId="4" xfId="0" applyFont="1" applyFill="1" applyBorder="1" applyAlignment="1">
      <alignment horizontal="left" vertical="center" wrapText="1"/>
    </xf>
    <xf numFmtId="3" fontId="10" fillId="11" borderId="4" xfId="0" applyNumberFormat="1" applyFont="1" applyFill="1" applyBorder="1" applyAlignment="1">
      <alignment horizontal="right" vertical="center"/>
    </xf>
    <xf numFmtId="3" fontId="3" fillId="11" borderId="4" xfId="0" applyNumberFormat="1" applyFont="1" applyFill="1" applyBorder="1" applyAlignment="1">
      <alignment horizontal="right" vertical="center"/>
    </xf>
    <xf numFmtId="0" fontId="20" fillId="11" borderId="4" xfId="0" applyFont="1" applyFill="1" applyBorder="1" applyAlignment="1">
      <alignment horizontal="center" vertical="center" wrapText="1"/>
    </xf>
    <xf numFmtId="0" fontId="22" fillId="11" borderId="4" xfId="0" applyFont="1" applyFill="1" applyBorder="1" applyAlignment="1">
      <alignment horizontal="center" vertical="center" wrapText="1"/>
    </xf>
    <xf numFmtId="0" fontId="4" fillId="17" borderId="4" xfId="0" applyFont="1" applyFill="1" applyBorder="1" applyAlignment="1">
      <alignment horizontal="left" vertical="center" wrapText="1"/>
    </xf>
    <xf numFmtId="0" fontId="10" fillId="17" borderId="4" xfId="0" applyFont="1" applyFill="1" applyBorder="1" applyAlignment="1">
      <alignment horizontal="left" vertical="center" wrapText="1"/>
    </xf>
    <xf numFmtId="0" fontId="10" fillId="17" borderId="4" xfId="0" applyFont="1" applyFill="1" applyBorder="1" applyAlignment="1">
      <alignment horizontal="center" vertical="center" wrapText="1"/>
    </xf>
    <xf numFmtId="3" fontId="10" fillId="17" borderId="4" xfId="0" applyNumberFormat="1" applyFont="1" applyFill="1" applyBorder="1" applyAlignment="1">
      <alignment horizontal="right" vertical="center"/>
    </xf>
    <xf numFmtId="3" fontId="3" fillId="17" borderId="4" xfId="0" applyNumberFormat="1" applyFont="1" applyFill="1" applyBorder="1" applyAlignment="1">
      <alignment horizontal="right" vertical="center"/>
    </xf>
    <xf numFmtId="0" fontId="23" fillId="17" borderId="4" xfId="0" applyFont="1" applyFill="1" applyBorder="1" applyAlignment="1">
      <alignment horizontal="center" vertical="center" wrapText="1"/>
    </xf>
    <xf numFmtId="0" fontId="22" fillId="17" borderId="4" xfId="0" applyFont="1" applyFill="1" applyBorder="1" applyAlignment="1">
      <alignment horizontal="center" vertical="center" wrapText="1"/>
    </xf>
    <xf numFmtId="0" fontId="10" fillId="8" borderId="4" xfId="0" applyFont="1" applyFill="1" applyBorder="1" applyAlignment="1">
      <alignment horizontal="left" vertical="center" wrapText="1"/>
    </xf>
    <xf numFmtId="3" fontId="10" fillId="8" borderId="4" xfId="0" applyNumberFormat="1" applyFont="1" applyFill="1" applyBorder="1" applyAlignment="1">
      <alignment horizontal="right" vertical="center"/>
    </xf>
    <xf numFmtId="3" fontId="3" fillId="8" borderId="4" xfId="0" applyNumberFormat="1" applyFont="1" applyFill="1" applyBorder="1" applyAlignment="1">
      <alignment horizontal="right" vertical="center"/>
    </xf>
    <xf numFmtId="0" fontId="23" fillId="8" borderId="4"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4" fillId="16" borderId="4" xfId="0" applyFont="1" applyFill="1" applyBorder="1" applyAlignment="1">
      <alignment horizontal="center" vertical="center" wrapText="1"/>
    </xf>
    <xf numFmtId="0" fontId="24" fillId="11"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4" fillId="18" borderId="4" xfId="0" applyFont="1" applyFill="1" applyBorder="1" applyAlignment="1">
      <alignment horizontal="left" vertical="center" wrapText="1"/>
    </xf>
    <xf numFmtId="0" fontId="10" fillId="18" borderId="4" xfId="0" applyFont="1" applyFill="1" applyBorder="1" applyAlignment="1">
      <alignment horizontal="left" vertical="center" wrapText="1"/>
    </xf>
    <xf numFmtId="0" fontId="10" fillId="18" borderId="4" xfId="0" applyFont="1" applyFill="1" applyBorder="1" applyAlignment="1">
      <alignment horizontal="center" vertical="center" wrapText="1"/>
    </xf>
    <xf numFmtId="3" fontId="10" fillId="18" borderId="4" xfId="0" applyNumberFormat="1" applyFont="1" applyFill="1" applyBorder="1" applyAlignment="1">
      <alignment horizontal="right" vertical="center"/>
    </xf>
    <xf numFmtId="3" fontId="3" fillId="18" borderId="4" xfId="0" applyNumberFormat="1" applyFont="1" applyFill="1" applyBorder="1" applyAlignment="1">
      <alignment horizontal="right" vertical="center"/>
    </xf>
    <xf numFmtId="0" fontId="25" fillId="18" borderId="4" xfId="0" applyFont="1" applyFill="1" applyBorder="1" applyAlignment="1">
      <alignment horizontal="center" vertical="center" wrapText="1"/>
    </xf>
    <xf numFmtId="0" fontId="22" fillId="18" borderId="4" xfId="0" applyFont="1" applyFill="1" applyBorder="1" applyAlignment="1">
      <alignment horizontal="center" vertical="center" wrapText="1"/>
    </xf>
    <xf numFmtId="0" fontId="24" fillId="17" borderId="4" xfId="0" applyFont="1" applyFill="1" applyBorder="1" applyAlignment="1">
      <alignment horizontal="center" vertical="center" wrapText="1"/>
    </xf>
    <xf numFmtId="3" fontId="15" fillId="13" borderId="4" xfId="0" applyNumberFormat="1" applyFont="1" applyFill="1" applyBorder="1" applyAlignment="1">
      <alignment horizontal="right" vertical="center"/>
    </xf>
    <xf numFmtId="3" fontId="15" fillId="14" borderId="4" xfId="0" applyNumberFormat="1" applyFont="1" applyFill="1" applyBorder="1" applyAlignment="1">
      <alignment horizontal="right" vertical="center"/>
    </xf>
    <xf numFmtId="3" fontId="15" fillId="15" borderId="4" xfId="0" applyNumberFormat="1" applyFont="1" applyFill="1" applyBorder="1" applyAlignment="1">
      <alignment horizontal="right" vertical="center"/>
    </xf>
    <xf numFmtId="3" fontId="1" fillId="2" borderId="4" xfId="0" applyNumberFormat="1" applyFont="1" applyFill="1" applyBorder="1" applyAlignment="1">
      <alignment horizontal="right" vertical="center"/>
    </xf>
    <xf numFmtId="0" fontId="0" fillId="0" borderId="4" xfId="0" applyBorder="1"/>
    <xf numFmtId="0" fontId="26" fillId="11" borderId="4" xfId="0" applyFont="1" applyFill="1" applyBorder="1" applyAlignment="1">
      <alignment horizontal="left" vertical="center" wrapText="1"/>
    </xf>
    <xf numFmtId="0" fontId="26" fillId="8" borderId="4" xfId="0" applyFont="1" applyFill="1" applyBorder="1" applyAlignment="1">
      <alignment horizontal="left" vertical="center" wrapText="1"/>
    </xf>
    <xf numFmtId="0" fontId="15" fillId="13" borderId="4" xfId="0" applyFont="1" applyFill="1" applyBorder="1" applyAlignment="1">
      <alignment horizontal="right" vertical="center" wrapText="1"/>
    </xf>
    <xf numFmtId="0" fontId="17" fillId="13" borderId="4" xfId="0" applyFont="1" applyFill="1" applyBorder="1" applyAlignment="1">
      <alignment horizontal="left" vertical="center" wrapText="1"/>
    </xf>
    <xf numFmtId="0" fontId="15" fillId="14" borderId="4" xfId="0" applyFont="1" applyFill="1" applyBorder="1" applyAlignment="1">
      <alignment horizontal="right" vertical="center" wrapText="1"/>
    </xf>
    <xf numFmtId="0" fontId="17" fillId="14" borderId="4" xfId="0" applyFont="1" applyFill="1" applyBorder="1" applyAlignment="1">
      <alignment horizontal="left" vertical="center" wrapText="1"/>
    </xf>
    <xf numFmtId="0" fontId="15" fillId="15" borderId="4" xfId="0" applyFont="1" applyFill="1" applyBorder="1" applyAlignment="1">
      <alignment horizontal="right" vertical="center" wrapText="1"/>
    </xf>
    <xf numFmtId="0" fontId="17" fillId="15" borderId="4" xfId="0" applyFont="1" applyFill="1" applyBorder="1" applyAlignment="1">
      <alignment horizontal="left" vertical="center" wrapText="1"/>
    </xf>
    <xf numFmtId="0" fontId="16" fillId="2" borderId="4" xfId="0" applyFont="1" applyFill="1" applyBorder="1" applyAlignment="1">
      <alignment horizontal="right" vertical="center" wrapText="1"/>
    </xf>
    <xf numFmtId="0" fontId="15" fillId="2" borderId="4" xfId="0" applyFont="1" applyFill="1" applyBorder="1" applyAlignment="1">
      <alignment horizontal="center" vertical="center" wrapText="1"/>
    </xf>
    <xf numFmtId="0" fontId="15" fillId="3"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4" fillId="8"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A5E20"/>
      <rgbColor rgb="FF000080"/>
      <rgbColor rgb="FF808000"/>
      <rgbColor rgb="FF800080"/>
      <rgbColor rgb="FF008080"/>
      <rgbColor rgb="FFBBBBBB"/>
      <rgbColor rgb="FF808080"/>
      <rgbColor rgb="FF9999FF"/>
      <rgbColor rgb="FF993366"/>
      <rgbColor rgb="FFFFF2CC"/>
      <rgbColor rgb="FFEAF4FB"/>
      <rgbColor rgb="FF660066"/>
      <rgbColor rgb="FFFF8080"/>
      <rgbColor rgb="FF1F4E79"/>
      <rgbColor rgb="FFBDD7EE"/>
      <rgbColor rgb="FF000080"/>
      <rgbColor rgb="FFFF00FF"/>
      <rgbColor rgb="FFFFFF00"/>
      <rgbColor rgb="FF00FFFF"/>
      <rgbColor rgb="FF800080"/>
      <rgbColor rgb="FF800000"/>
      <rgbColor rgb="FF008080"/>
      <rgbColor rgb="FF0000FF"/>
      <rgbColor rgb="FF00CCFF"/>
      <rgbColor rgb="FFEBF3FB"/>
      <rgbColor rgb="FFE2EFDA"/>
      <rgbColor rgb="FFFFFBF0"/>
      <rgbColor rgb="FFF2F2F2"/>
      <rgbColor rgb="FFF0F7FD"/>
      <rgbColor rgb="FFF3FAF0"/>
      <rgbColor rgb="FFFCE4D6"/>
      <rgbColor rgb="FF2E75B6"/>
      <rgbColor rgb="FF33CCCC"/>
      <rgbColor rgb="FF99CC00"/>
      <rgbColor rgb="FFFFCC00"/>
      <rgbColor rgb="FFFF9900"/>
      <rgbColor rgb="FFFF6600"/>
      <rgbColor rgb="FF344F6B"/>
      <rgbColor rgb="FFAAAAAA"/>
      <rgbColor rgb="FF17375E"/>
      <rgbColor rgb="FF339966"/>
      <rgbColor rgb="FF003300"/>
      <rgbColor rgb="FF375623"/>
      <rgbColor rgb="FF7F4F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zoomScaleNormal="100" workbookViewId="0"/>
  </sheetViews>
  <sheetFormatPr defaultColWidth="8.7109375" defaultRowHeight="15" x14ac:dyDescent="0.25"/>
  <cols>
    <col min="1" max="1" width="28" customWidth="1"/>
    <col min="2" max="2" width="40" customWidth="1"/>
    <col min="3" max="3" width="18" customWidth="1"/>
    <col min="4" max="4" width="42" customWidth="1"/>
  </cols>
  <sheetData>
    <row r="1" spans="1:4" ht="27.75" customHeight="1" x14ac:dyDescent="0.25">
      <c r="A1" s="14" t="s">
        <v>0</v>
      </c>
      <c r="B1" s="14"/>
      <c r="C1" s="14"/>
      <c r="D1" s="14"/>
    </row>
    <row r="2" spans="1:4" ht="19.5" customHeight="1" x14ac:dyDescent="0.25">
      <c r="A2" s="13" t="s">
        <v>1</v>
      </c>
      <c r="B2" s="13"/>
      <c r="C2" s="13"/>
      <c r="D2" s="13"/>
    </row>
    <row r="3" spans="1:4" ht="24.75" customHeight="1" x14ac:dyDescent="0.25">
      <c r="A3" s="17" t="s">
        <v>2</v>
      </c>
      <c r="B3" s="17" t="s">
        <v>3</v>
      </c>
      <c r="C3" s="17" t="s">
        <v>4</v>
      </c>
      <c r="D3" s="17" t="s">
        <v>5</v>
      </c>
    </row>
    <row r="4" spans="1:4" ht="54.75" customHeight="1" x14ac:dyDescent="0.25">
      <c r="A4" s="18" t="s">
        <v>6</v>
      </c>
      <c r="B4" s="19" t="s">
        <v>7</v>
      </c>
      <c r="C4" s="20" t="s">
        <v>8</v>
      </c>
      <c r="D4" s="19" t="s">
        <v>9</v>
      </c>
    </row>
    <row r="5" spans="1:4" ht="54.75" customHeight="1" x14ac:dyDescent="0.25">
      <c r="A5" s="18" t="s">
        <v>10</v>
      </c>
      <c r="B5" s="19" t="s">
        <v>11</v>
      </c>
      <c r="C5" s="20" t="s">
        <v>8</v>
      </c>
      <c r="D5" s="19" t="s">
        <v>12</v>
      </c>
    </row>
    <row r="6" spans="1:4" ht="54.75" customHeight="1" x14ac:dyDescent="0.25">
      <c r="A6" s="18" t="s">
        <v>13</v>
      </c>
      <c r="B6" s="19" t="s">
        <v>14</v>
      </c>
      <c r="C6" s="20" t="s">
        <v>8</v>
      </c>
      <c r="D6" s="19" t="s">
        <v>15</v>
      </c>
    </row>
    <row r="7" spans="1:4" ht="54.75" customHeight="1" x14ac:dyDescent="0.25">
      <c r="A7" s="18" t="s">
        <v>16</v>
      </c>
      <c r="B7" s="19" t="s">
        <v>17</v>
      </c>
      <c r="C7" s="20" t="s">
        <v>8</v>
      </c>
      <c r="D7" s="19" t="s">
        <v>18</v>
      </c>
    </row>
    <row r="8" spans="1:4" ht="54.75" customHeight="1" x14ac:dyDescent="0.25">
      <c r="A8" s="21" t="s">
        <v>19</v>
      </c>
      <c r="B8" s="22" t="s">
        <v>20</v>
      </c>
      <c r="C8" s="23" t="s">
        <v>21</v>
      </c>
      <c r="D8" s="22" t="s">
        <v>22</v>
      </c>
    </row>
    <row r="9" spans="1:4" ht="54.75" customHeight="1" x14ac:dyDescent="0.25">
      <c r="A9" s="24" t="s">
        <v>23</v>
      </c>
      <c r="B9" s="25" t="s">
        <v>24</v>
      </c>
      <c r="C9" s="26" t="s">
        <v>25</v>
      </c>
      <c r="D9" s="25" t="s">
        <v>26</v>
      </c>
    </row>
    <row r="10" spans="1:4" ht="54.75" customHeight="1" x14ac:dyDescent="0.25">
      <c r="A10" s="27" t="s">
        <v>27</v>
      </c>
      <c r="B10" s="28" t="s">
        <v>28</v>
      </c>
      <c r="C10" s="29" t="s">
        <v>29</v>
      </c>
      <c r="D10" s="28" t="s">
        <v>30</v>
      </c>
    </row>
    <row r="11" spans="1:4" ht="54.75" customHeight="1" x14ac:dyDescent="0.25">
      <c r="A11" s="30" t="s">
        <v>31</v>
      </c>
      <c r="B11" s="31" t="s">
        <v>32</v>
      </c>
      <c r="C11" s="32" t="s">
        <v>33</v>
      </c>
      <c r="D11" s="31" t="s">
        <v>34</v>
      </c>
    </row>
    <row r="12" spans="1:4" ht="54.75" customHeight="1" x14ac:dyDescent="0.25">
      <c r="A12" s="21" t="s">
        <v>35</v>
      </c>
      <c r="B12" s="22" t="s">
        <v>36</v>
      </c>
      <c r="C12" s="23" t="s">
        <v>21</v>
      </c>
      <c r="D12" s="22" t="s">
        <v>37</v>
      </c>
    </row>
    <row r="13" spans="1:4" ht="54.75" customHeight="1" x14ac:dyDescent="0.25">
      <c r="A13" s="27" t="s">
        <v>38</v>
      </c>
      <c r="B13" s="28" t="s">
        <v>39</v>
      </c>
      <c r="C13" s="29" t="s">
        <v>29</v>
      </c>
      <c r="D13" s="28" t="s">
        <v>40</v>
      </c>
    </row>
    <row r="14" spans="1:4" ht="54.75" customHeight="1" x14ac:dyDescent="0.25">
      <c r="A14" s="27" t="s">
        <v>41</v>
      </c>
      <c r="B14" s="28" t="s">
        <v>42</v>
      </c>
      <c r="C14" s="29" t="s">
        <v>29</v>
      </c>
      <c r="D14" s="28" t="s">
        <v>43</v>
      </c>
    </row>
    <row r="15" spans="1:4" ht="54.75" customHeight="1" x14ac:dyDescent="0.25">
      <c r="A15" s="21" t="s">
        <v>44</v>
      </c>
      <c r="B15" s="22" t="s">
        <v>45</v>
      </c>
      <c r="C15" s="23" t="s">
        <v>46</v>
      </c>
      <c r="D15" s="22" t="s">
        <v>47</v>
      </c>
    </row>
    <row r="16" spans="1:4" ht="54.75" customHeight="1" x14ac:dyDescent="0.25">
      <c r="A16" s="27" t="s">
        <v>48</v>
      </c>
      <c r="B16" s="28" t="s">
        <v>49</v>
      </c>
      <c r="C16" s="29" t="s">
        <v>29</v>
      </c>
      <c r="D16" s="28" t="s">
        <v>50</v>
      </c>
    </row>
    <row r="17" spans="1:4" ht="54.75" customHeight="1" x14ac:dyDescent="0.25">
      <c r="A17" s="27" t="s">
        <v>51</v>
      </c>
      <c r="B17" s="28" t="s">
        <v>52</v>
      </c>
      <c r="C17" s="29" t="s">
        <v>29</v>
      </c>
      <c r="D17" s="28" t="s">
        <v>53</v>
      </c>
    </row>
    <row r="18" spans="1:4" ht="54.75" customHeight="1" x14ac:dyDescent="0.25">
      <c r="A18" s="30" t="s">
        <v>54</v>
      </c>
      <c r="B18" s="31" t="s">
        <v>55</v>
      </c>
      <c r="C18" s="32" t="s">
        <v>56</v>
      </c>
      <c r="D18" s="31" t="s">
        <v>57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0"/>
  <sheetViews>
    <sheetView zoomScaleNormal="100" workbookViewId="0"/>
  </sheetViews>
  <sheetFormatPr defaultColWidth="8.7109375" defaultRowHeight="15" x14ac:dyDescent="0.25"/>
  <cols>
    <col min="1" max="1" width="24" customWidth="1"/>
    <col min="2" max="2" width="38" customWidth="1"/>
    <col min="3" max="3" width="34" customWidth="1"/>
    <col min="4" max="4" width="9" customWidth="1"/>
    <col min="5" max="5" width="14" customWidth="1"/>
    <col min="6" max="6" width="16" customWidth="1"/>
    <col min="7" max="7" width="42" customWidth="1"/>
  </cols>
  <sheetData>
    <row r="1" spans="1:7" ht="15.75" customHeight="1" x14ac:dyDescent="0.25">
      <c r="A1" s="15" t="s">
        <v>58</v>
      </c>
    </row>
    <row r="2" spans="1:7" ht="15" customHeight="1" x14ac:dyDescent="0.25">
      <c r="A2" s="16" t="s">
        <v>59</v>
      </c>
    </row>
    <row r="3" spans="1:7" ht="15" customHeight="1" x14ac:dyDescent="0.25">
      <c r="A3" s="17" t="s">
        <v>60</v>
      </c>
      <c r="B3" s="17" t="s">
        <v>61</v>
      </c>
      <c r="C3" s="17" t="s">
        <v>62</v>
      </c>
      <c r="D3" s="17" t="s">
        <v>63</v>
      </c>
      <c r="E3" s="17" t="s">
        <v>64</v>
      </c>
      <c r="F3" s="17" t="s">
        <v>65</v>
      </c>
      <c r="G3" s="17" t="s">
        <v>66</v>
      </c>
    </row>
    <row r="4" spans="1:7" ht="15" customHeight="1" x14ac:dyDescent="0.25">
      <c r="A4" s="33" t="s">
        <v>67</v>
      </c>
      <c r="B4" s="34"/>
      <c r="C4" s="34"/>
      <c r="D4" s="34"/>
      <c r="E4" s="34"/>
      <c r="F4" s="34"/>
      <c r="G4" s="35"/>
    </row>
    <row r="5" spans="1:7" ht="21.75" customHeight="1" x14ac:dyDescent="0.25">
      <c r="A5" s="36" t="s">
        <v>68</v>
      </c>
      <c r="B5" s="37" t="s">
        <v>69</v>
      </c>
      <c r="C5" s="36" t="s">
        <v>70</v>
      </c>
      <c r="D5" s="38">
        <v>2</v>
      </c>
      <c r="E5" s="39">
        <v>95000</v>
      </c>
      <c r="F5" s="40">
        <f t="shared" ref="F5:F10" si="0">D5*E5</f>
        <v>190000</v>
      </c>
      <c r="G5" s="36" t="s">
        <v>71</v>
      </c>
    </row>
    <row r="6" spans="1:7" ht="21.75" customHeight="1" x14ac:dyDescent="0.25">
      <c r="A6" s="36" t="s">
        <v>68</v>
      </c>
      <c r="B6" s="37" t="s">
        <v>72</v>
      </c>
      <c r="C6" s="36" t="s">
        <v>73</v>
      </c>
      <c r="D6" s="38">
        <v>2</v>
      </c>
      <c r="E6" s="39">
        <v>65000</v>
      </c>
      <c r="F6" s="40">
        <f t="shared" si="0"/>
        <v>130000</v>
      </c>
      <c r="G6" s="36" t="s">
        <v>74</v>
      </c>
    </row>
    <row r="7" spans="1:7" ht="15" customHeight="1" x14ac:dyDescent="0.25">
      <c r="A7" s="36" t="s">
        <v>68</v>
      </c>
      <c r="B7" s="37" t="s">
        <v>75</v>
      </c>
      <c r="C7" s="36" t="s">
        <v>76</v>
      </c>
      <c r="D7" s="38">
        <v>4</v>
      </c>
      <c r="E7" s="39">
        <v>22000</v>
      </c>
      <c r="F7" s="40">
        <f t="shared" si="0"/>
        <v>88000</v>
      </c>
      <c r="G7" s="36" t="s">
        <v>77</v>
      </c>
    </row>
    <row r="8" spans="1:7" ht="15" customHeight="1" x14ac:dyDescent="0.25">
      <c r="A8" s="36" t="s">
        <v>68</v>
      </c>
      <c r="B8" s="37" t="s">
        <v>78</v>
      </c>
      <c r="C8" s="36" t="s">
        <v>79</v>
      </c>
      <c r="D8" s="38">
        <v>4</v>
      </c>
      <c r="E8" s="39">
        <v>6500</v>
      </c>
      <c r="F8" s="40">
        <f t="shared" si="0"/>
        <v>26000</v>
      </c>
      <c r="G8" s="36" t="s">
        <v>80</v>
      </c>
    </row>
    <row r="9" spans="1:7" ht="15" customHeight="1" x14ac:dyDescent="0.25">
      <c r="A9" s="36" t="s">
        <v>68</v>
      </c>
      <c r="B9" s="37" t="s">
        <v>81</v>
      </c>
      <c r="C9" s="36" t="s">
        <v>82</v>
      </c>
      <c r="D9" s="38">
        <v>1</v>
      </c>
      <c r="E9" s="39">
        <v>8000</v>
      </c>
      <c r="F9" s="40">
        <f t="shared" si="0"/>
        <v>8000</v>
      </c>
      <c r="G9" s="36" t="s">
        <v>83</v>
      </c>
    </row>
    <row r="10" spans="1:7" ht="32.25" customHeight="1" x14ac:dyDescent="0.25">
      <c r="A10" s="22" t="s">
        <v>68</v>
      </c>
      <c r="B10" s="41" t="s">
        <v>84</v>
      </c>
      <c r="C10" s="22" t="s">
        <v>85</v>
      </c>
      <c r="D10" s="42">
        <v>1</v>
      </c>
      <c r="E10" s="43">
        <v>120000</v>
      </c>
      <c r="F10" s="44">
        <f t="shared" si="0"/>
        <v>120000</v>
      </c>
      <c r="G10" s="22" t="s">
        <v>86</v>
      </c>
    </row>
    <row r="11" spans="1:7" ht="32.25" customHeight="1" x14ac:dyDescent="0.25">
      <c r="A11" s="19" t="s">
        <v>68</v>
      </c>
      <c r="B11" s="45" t="s">
        <v>87</v>
      </c>
      <c r="C11" s="19" t="s">
        <v>88</v>
      </c>
      <c r="D11" s="46">
        <v>0</v>
      </c>
      <c r="E11" s="47">
        <v>0</v>
      </c>
      <c r="F11" s="48">
        <v>0</v>
      </c>
      <c r="G11" s="19" t="s">
        <v>89</v>
      </c>
    </row>
    <row r="12" spans="1:7" ht="15" customHeight="1" x14ac:dyDescent="0.25">
      <c r="A12" s="33" t="s">
        <v>90</v>
      </c>
      <c r="B12" s="34"/>
      <c r="C12" s="34"/>
      <c r="D12" s="34"/>
      <c r="E12" s="34"/>
      <c r="F12" s="34"/>
      <c r="G12" s="35"/>
    </row>
    <row r="13" spans="1:7" ht="42.75" customHeight="1" x14ac:dyDescent="0.25">
      <c r="A13" s="22" t="s">
        <v>91</v>
      </c>
      <c r="B13" s="41" t="s">
        <v>92</v>
      </c>
      <c r="C13" s="22" t="s">
        <v>93</v>
      </c>
      <c r="D13" s="42">
        <v>8</v>
      </c>
      <c r="E13" s="43">
        <v>28000</v>
      </c>
      <c r="F13" s="44">
        <f>D13*E13</f>
        <v>224000</v>
      </c>
      <c r="G13" s="22" t="s">
        <v>94</v>
      </c>
    </row>
    <row r="14" spans="1:7" ht="23.25" customHeight="1" x14ac:dyDescent="0.25">
      <c r="A14" s="19" t="s">
        <v>91</v>
      </c>
      <c r="B14" s="45" t="s">
        <v>95</v>
      </c>
      <c r="C14" s="19" t="s">
        <v>96</v>
      </c>
      <c r="D14" s="46">
        <v>0</v>
      </c>
      <c r="E14" s="47">
        <v>0</v>
      </c>
      <c r="F14" s="48">
        <v>0</v>
      </c>
      <c r="G14" s="19" t="s">
        <v>97</v>
      </c>
    </row>
    <row r="15" spans="1:7" ht="15" customHeight="1" x14ac:dyDescent="0.25">
      <c r="A15" s="33" t="s">
        <v>98</v>
      </c>
      <c r="B15" s="34"/>
      <c r="C15" s="34"/>
      <c r="D15" s="34"/>
      <c r="E15" s="34"/>
      <c r="F15" s="34"/>
      <c r="G15" s="35"/>
    </row>
    <row r="16" spans="1:7" ht="32.25" customHeight="1" x14ac:dyDescent="0.25">
      <c r="A16" s="36" t="s">
        <v>99</v>
      </c>
      <c r="B16" s="37" t="s">
        <v>100</v>
      </c>
      <c r="C16" s="36" t="s">
        <v>101</v>
      </c>
      <c r="D16" s="38">
        <v>8</v>
      </c>
      <c r="E16" s="39">
        <v>24000</v>
      </c>
      <c r="F16" s="40">
        <f>D16*E16</f>
        <v>192000</v>
      </c>
      <c r="G16" s="36" t="s">
        <v>102</v>
      </c>
    </row>
    <row r="17" spans="1:7" ht="15" customHeight="1" x14ac:dyDescent="0.25">
      <c r="A17" s="33" t="s">
        <v>103</v>
      </c>
      <c r="B17" s="34"/>
      <c r="C17" s="34"/>
      <c r="D17" s="34"/>
      <c r="E17" s="34"/>
      <c r="F17" s="34"/>
      <c r="G17" s="35"/>
    </row>
    <row r="18" spans="1:7" ht="68.25" customHeight="1" x14ac:dyDescent="0.25">
      <c r="A18" s="49" t="s">
        <v>104</v>
      </c>
      <c r="B18" s="34"/>
      <c r="C18" s="34"/>
      <c r="D18" s="34"/>
      <c r="E18" s="34"/>
      <c r="F18" s="34"/>
      <c r="G18" s="35"/>
    </row>
    <row r="19" spans="1:7" ht="15" customHeight="1" x14ac:dyDescent="0.25">
      <c r="A19" s="33" t="s">
        <v>105</v>
      </c>
      <c r="B19" s="34"/>
      <c r="C19" s="34"/>
      <c r="D19" s="34"/>
      <c r="E19" s="34"/>
      <c r="F19" s="34"/>
      <c r="G19" s="35"/>
    </row>
    <row r="20" spans="1:7" ht="32.25" customHeight="1" x14ac:dyDescent="0.25">
      <c r="A20" s="31" t="s">
        <v>106</v>
      </c>
      <c r="B20" s="50" t="s">
        <v>107</v>
      </c>
      <c r="C20" s="31" t="s">
        <v>108</v>
      </c>
      <c r="D20" s="51">
        <v>2</v>
      </c>
      <c r="E20" s="52">
        <v>22000</v>
      </c>
      <c r="F20" s="53">
        <f>D20*E20</f>
        <v>44000</v>
      </c>
      <c r="G20" s="31" t="s">
        <v>109</v>
      </c>
    </row>
    <row r="21" spans="1:7" ht="21.75" customHeight="1" x14ac:dyDescent="0.25">
      <c r="A21" s="31" t="s">
        <v>106</v>
      </c>
      <c r="B21" s="50" t="s">
        <v>110</v>
      </c>
      <c r="C21" s="31" t="s">
        <v>111</v>
      </c>
      <c r="D21" s="51">
        <v>2</v>
      </c>
      <c r="E21" s="52">
        <v>35000</v>
      </c>
      <c r="F21" s="53">
        <f>D21*E21</f>
        <v>70000</v>
      </c>
      <c r="G21" s="31" t="s">
        <v>112</v>
      </c>
    </row>
    <row r="22" spans="1:7" ht="15" customHeight="1" x14ac:dyDescent="0.25">
      <c r="A22" s="33" t="s">
        <v>113</v>
      </c>
      <c r="B22" s="34"/>
      <c r="C22" s="34"/>
      <c r="D22" s="34"/>
      <c r="E22" s="34"/>
      <c r="F22" s="34"/>
      <c r="G22" s="35"/>
    </row>
    <row r="23" spans="1:7" ht="21.75" customHeight="1" x14ac:dyDescent="0.25">
      <c r="A23" s="22" t="s">
        <v>114</v>
      </c>
      <c r="B23" s="41" t="s">
        <v>115</v>
      </c>
      <c r="C23" s="22" t="s">
        <v>116</v>
      </c>
      <c r="D23" s="42">
        <v>3</v>
      </c>
      <c r="E23" s="43">
        <v>28000</v>
      </c>
      <c r="F23" s="44">
        <f>D23*E23</f>
        <v>84000</v>
      </c>
      <c r="G23" s="22" t="s">
        <v>117</v>
      </c>
    </row>
    <row r="24" spans="1:7" ht="21.75" customHeight="1" x14ac:dyDescent="0.25">
      <c r="A24" s="22" t="s">
        <v>114</v>
      </c>
      <c r="B24" s="41" t="s">
        <v>118</v>
      </c>
      <c r="C24" s="22" t="s">
        <v>119</v>
      </c>
      <c r="D24" s="42">
        <v>24</v>
      </c>
      <c r="E24" s="43">
        <v>22000</v>
      </c>
      <c r="F24" s="44">
        <f>D24*E24</f>
        <v>528000</v>
      </c>
      <c r="G24" s="22" t="s">
        <v>120</v>
      </c>
    </row>
    <row r="25" spans="1:7" ht="21.75" customHeight="1" x14ac:dyDescent="0.25">
      <c r="A25" s="36" t="s">
        <v>114</v>
      </c>
      <c r="B25" s="37" t="s">
        <v>121</v>
      </c>
      <c r="C25" s="36" t="s">
        <v>122</v>
      </c>
      <c r="D25" s="38">
        <v>2</v>
      </c>
      <c r="E25" s="39">
        <v>48000</v>
      </c>
      <c r="F25" s="40">
        <f>D25*E25</f>
        <v>96000</v>
      </c>
      <c r="G25" s="36" t="s">
        <v>123</v>
      </c>
    </row>
    <row r="26" spans="1:7" ht="15" customHeight="1" x14ac:dyDescent="0.25">
      <c r="A26" s="33" t="s">
        <v>124</v>
      </c>
      <c r="B26" s="34"/>
      <c r="C26" s="34"/>
      <c r="D26" s="34"/>
      <c r="E26" s="34"/>
      <c r="F26" s="34"/>
      <c r="G26" s="35"/>
    </row>
    <row r="27" spans="1:7" ht="32.25" customHeight="1" x14ac:dyDescent="0.25">
      <c r="A27" s="31" t="s">
        <v>125</v>
      </c>
      <c r="B27" s="50" t="s">
        <v>126</v>
      </c>
      <c r="C27" s="31" t="s">
        <v>127</v>
      </c>
      <c r="D27" s="51">
        <v>2</v>
      </c>
      <c r="E27" s="52">
        <v>185000</v>
      </c>
      <c r="F27" s="53">
        <f>D27*E27</f>
        <v>370000</v>
      </c>
      <c r="G27" s="31" t="s">
        <v>128</v>
      </c>
    </row>
    <row r="28" spans="1:7" ht="32.25" customHeight="1" x14ac:dyDescent="0.25">
      <c r="A28" s="31" t="s">
        <v>125</v>
      </c>
      <c r="B28" s="50" t="s">
        <v>129</v>
      </c>
      <c r="C28" s="31" t="s">
        <v>130</v>
      </c>
      <c r="D28" s="51">
        <v>2</v>
      </c>
      <c r="E28" s="52">
        <v>95000</v>
      </c>
      <c r="F28" s="53">
        <f>D28*E28</f>
        <v>190000</v>
      </c>
      <c r="G28" s="31" t="s">
        <v>131</v>
      </c>
    </row>
    <row r="29" spans="1:7" ht="32.25" customHeight="1" x14ac:dyDescent="0.25">
      <c r="A29" s="31" t="s">
        <v>125</v>
      </c>
      <c r="B29" s="50" t="s">
        <v>132</v>
      </c>
      <c r="C29" s="31" t="s">
        <v>133</v>
      </c>
      <c r="D29" s="51">
        <v>2</v>
      </c>
      <c r="E29" s="52">
        <v>85000</v>
      </c>
      <c r="F29" s="53">
        <f>D29*E29</f>
        <v>170000</v>
      </c>
      <c r="G29" s="31" t="s">
        <v>134</v>
      </c>
    </row>
    <row r="30" spans="1:7" ht="21.75" customHeight="1" x14ac:dyDescent="0.25">
      <c r="A30" s="19" t="s">
        <v>125</v>
      </c>
      <c r="B30" s="45" t="s">
        <v>135</v>
      </c>
      <c r="C30" s="19" t="s">
        <v>136</v>
      </c>
      <c r="D30" s="46">
        <v>0</v>
      </c>
      <c r="E30" s="47">
        <v>0</v>
      </c>
      <c r="F30" s="48">
        <v>0</v>
      </c>
      <c r="G30" s="19" t="s">
        <v>137</v>
      </c>
    </row>
    <row r="31" spans="1:7" ht="15" customHeight="1" x14ac:dyDescent="0.25">
      <c r="A31" s="33" t="s">
        <v>138</v>
      </c>
      <c r="B31" s="34"/>
      <c r="C31" s="34"/>
      <c r="D31" s="34"/>
      <c r="E31" s="34"/>
      <c r="F31" s="34"/>
      <c r="G31" s="35"/>
    </row>
    <row r="32" spans="1:7" ht="32.25" customHeight="1" x14ac:dyDescent="0.25">
      <c r="A32" s="31" t="s">
        <v>139</v>
      </c>
      <c r="B32" s="50" t="s">
        <v>140</v>
      </c>
      <c r="C32" s="31" t="s">
        <v>141</v>
      </c>
      <c r="D32" s="51">
        <v>2</v>
      </c>
      <c r="E32" s="52">
        <v>185000</v>
      </c>
      <c r="F32" s="53">
        <f>D32*E32</f>
        <v>370000</v>
      </c>
      <c r="G32" s="31" t="s">
        <v>142</v>
      </c>
    </row>
    <row r="33" spans="1:7" ht="32.25" customHeight="1" x14ac:dyDescent="0.25">
      <c r="A33" s="31" t="s">
        <v>139</v>
      </c>
      <c r="B33" s="50" t="s">
        <v>143</v>
      </c>
      <c r="C33" s="31" t="s">
        <v>144</v>
      </c>
      <c r="D33" s="51">
        <v>2</v>
      </c>
      <c r="E33" s="52">
        <v>28000</v>
      </c>
      <c r="F33" s="53">
        <f>D33*E33</f>
        <v>56000</v>
      </c>
      <c r="G33" s="31" t="s">
        <v>145</v>
      </c>
    </row>
    <row r="34" spans="1:7" ht="15" customHeight="1" x14ac:dyDescent="0.25">
      <c r="A34" s="33" t="s">
        <v>146</v>
      </c>
      <c r="B34" s="34"/>
      <c r="C34" s="34"/>
      <c r="D34" s="34"/>
      <c r="E34" s="34"/>
      <c r="F34" s="34"/>
      <c r="G34" s="35"/>
    </row>
    <row r="35" spans="1:7" ht="21.75" customHeight="1" x14ac:dyDescent="0.25">
      <c r="A35" s="36" t="s">
        <v>147</v>
      </c>
      <c r="B35" s="37" t="s">
        <v>148</v>
      </c>
      <c r="C35" s="36" t="s">
        <v>149</v>
      </c>
      <c r="D35" s="38">
        <v>2</v>
      </c>
      <c r="E35" s="39">
        <v>42000</v>
      </c>
      <c r="F35" s="40">
        <f>D35*E35</f>
        <v>84000</v>
      </c>
      <c r="G35" s="36" t="s">
        <v>150</v>
      </c>
    </row>
    <row r="36" spans="1:7" ht="15" customHeight="1" x14ac:dyDescent="0.25">
      <c r="A36" s="36" t="s">
        <v>147</v>
      </c>
      <c r="B36" s="37" t="s">
        <v>151</v>
      </c>
      <c r="C36" s="36" t="s">
        <v>152</v>
      </c>
      <c r="D36" s="38">
        <v>4</v>
      </c>
      <c r="E36" s="39">
        <v>28000</v>
      </c>
      <c r="F36" s="40">
        <f>D36*E36</f>
        <v>112000</v>
      </c>
      <c r="G36" s="36" t="s">
        <v>153</v>
      </c>
    </row>
    <row r="37" spans="1:7" ht="15" customHeight="1" x14ac:dyDescent="0.25">
      <c r="A37" s="36" t="s">
        <v>147</v>
      </c>
      <c r="B37" s="37" t="s">
        <v>154</v>
      </c>
      <c r="C37" s="36" t="s">
        <v>155</v>
      </c>
      <c r="D37" s="38">
        <v>2</v>
      </c>
      <c r="E37" s="39">
        <v>35000</v>
      </c>
      <c r="F37" s="40">
        <f>D37*E37</f>
        <v>70000</v>
      </c>
      <c r="G37" s="36" t="s">
        <v>156</v>
      </c>
    </row>
    <row r="38" spans="1:7" ht="21.75" customHeight="1" x14ac:dyDescent="0.25">
      <c r="A38" s="22" t="s">
        <v>147</v>
      </c>
      <c r="B38" s="41" t="s">
        <v>157</v>
      </c>
      <c r="C38" s="22" t="s">
        <v>158</v>
      </c>
      <c r="D38" s="42">
        <v>48</v>
      </c>
      <c r="E38" s="43">
        <v>2800</v>
      </c>
      <c r="F38" s="44">
        <f>D38*E38</f>
        <v>134400</v>
      </c>
      <c r="G38" s="22" t="s">
        <v>159</v>
      </c>
    </row>
    <row r="39" spans="1:7" ht="15" customHeight="1" x14ac:dyDescent="0.25">
      <c r="A39" s="33" t="s">
        <v>160</v>
      </c>
      <c r="B39" s="34"/>
      <c r="C39" s="34"/>
      <c r="D39" s="34"/>
      <c r="E39" s="34"/>
      <c r="F39" s="34"/>
      <c r="G39" s="35"/>
    </row>
    <row r="40" spans="1:7" ht="32.25" customHeight="1" x14ac:dyDescent="0.25">
      <c r="A40" s="31" t="s">
        <v>161</v>
      </c>
      <c r="B40" s="50" t="s">
        <v>162</v>
      </c>
      <c r="C40" s="31" t="s">
        <v>163</v>
      </c>
      <c r="D40" s="51">
        <v>1</v>
      </c>
      <c r="E40" s="52">
        <v>95000</v>
      </c>
      <c r="F40" s="53">
        <f>D40*E40</f>
        <v>95000</v>
      </c>
      <c r="G40" s="31" t="s">
        <v>164</v>
      </c>
    </row>
    <row r="41" spans="1:7" ht="15" customHeight="1" x14ac:dyDescent="0.25">
      <c r="A41" s="33" t="s">
        <v>165</v>
      </c>
      <c r="B41" s="34"/>
      <c r="C41" s="34"/>
      <c r="D41" s="34"/>
      <c r="E41" s="34"/>
      <c r="F41" s="34"/>
      <c r="G41" s="35"/>
    </row>
    <row r="42" spans="1:7" ht="15" customHeight="1" x14ac:dyDescent="0.25">
      <c r="A42" s="36" t="s">
        <v>166</v>
      </c>
      <c r="B42" s="37" t="s">
        <v>167</v>
      </c>
      <c r="C42" s="36" t="s">
        <v>168</v>
      </c>
      <c r="D42" s="38">
        <v>2</v>
      </c>
      <c r="E42" s="39">
        <v>45000</v>
      </c>
      <c r="F42" s="40">
        <f t="shared" ref="F42:F49" si="1">D42*E42</f>
        <v>90000</v>
      </c>
      <c r="G42" s="36" t="s">
        <v>169</v>
      </c>
    </row>
    <row r="43" spans="1:7" ht="15" customHeight="1" x14ac:dyDescent="0.25">
      <c r="A43" s="36" t="s">
        <v>166</v>
      </c>
      <c r="B43" s="37" t="s">
        <v>170</v>
      </c>
      <c r="C43" s="36" t="s">
        <v>171</v>
      </c>
      <c r="D43" s="38">
        <v>4</v>
      </c>
      <c r="E43" s="39">
        <v>25000</v>
      </c>
      <c r="F43" s="40">
        <f t="shared" si="1"/>
        <v>100000</v>
      </c>
      <c r="G43" s="36" t="s">
        <v>172</v>
      </c>
    </row>
    <row r="44" spans="1:7" ht="15" customHeight="1" x14ac:dyDescent="0.25">
      <c r="A44" s="36" t="s">
        <v>173</v>
      </c>
      <c r="B44" s="37" t="s">
        <v>174</v>
      </c>
      <c r="C44" s="36" t="s">
        <v>175</v>
      </c>
      <c r="D44" s="38">
        <v>6</v>
      </c>
      <c r="E44" s="39">
        <v>28000</v>
      </c>
      <c r="F44" s="40">
        <f t="shared" si="1"/>
        <v>168000</v>
      </c>
      <c r="G44" s="36" t="s">
        <v>176</v>
      </c>
    </row>
    <row r="45" spans="1:7" ht="21.75" customHeight="1" x14ac:dyDescent="0.25">
      <c r="A45" s="22" t="s">
        <v>177</v>
      </c>
      <c r="B45" s="41" t="s">
        <v>178</v>
      </c>
      <c r="C45" s="22" t="s">
        <v>179</v>
      </c>
      <c r="D45" s="42">
        <v>8</v>
      </c>
      <c r="E45" s="43">
        <v>22000</v>
      </c>
      <c r="F45" s="44">
        <f t="shared" si="1"/>
        <v>176000</v>
      </c>
      <c r="G45" s="22" t="s">
        <v>180</v>
      </c>
    </row>
    <row r="46" spans="1:7" ht="15" customHeight="1" x14ac:dyDescent="0.25">
      <c r="A46" s="36" t="s">
        <v>181</v>
      </c>
      <c r="B46" s="37" t="s">
        <v>182</v>
      </c>
      <c r="C46" s="36" t="s">
        <v>183</v>
      </c>
      <c r="D46" s="38">
        <v>4</v>
      </c>
      <c r="E46" s="39">
        <v>12000</v>
      </c>
      <c r="F46" s="40">
        <f t="shared" si="1"/>
        <v>48000</v>
      </c>
      <c r="G46" s="36" t="s">
        <v>184</v>
      </c>
    </row>
    <row r="47" spans="1:7" ht="15" customHeight="1" x14ac:dyDescent="0.25">
      <c r="A47" s="36" t="s">
        <v>185</v>
      </c>
      <c r="B47" s="37" t="s">
        <v>186</v>
      </c>
      <c r="C47" s="36" t="s">
        <v>187</v>
      </c>
      <c r="D47" s="38">
        <v>2</v>
      </c>
      <c r="E47" s="39">
        <v>35000</v>
      </c>
      <c r="F47" s="40">
        <f t="shared" si="1"/>
        <v>70000</v>
      </c>
      <c r="G47" s="36" t="s">
        <v>188</v>
      </c>
    </row>
    <row r="48" spans="1:7" ht="15" customHeight="1" x14ac:dyDescent="0.25">
      <c r="A48" s="36" t="s">
        <v>185</v>
      </c>
      <c r="B48" s="37" t="s">
        <v>189</v>
      </c>
      <c r="C48" s="36" t="s">
        <v>190</v>
      </c>
      <c r="D48" s="38">
        <v>4</v>
      </c>
      <c r="E48" s="39">
        <v>12000</v>
      </c>
      <c r="F48" s="40">
        <f t="shared" si="1"/>
        <v>48000</v>
      </c>
      <c r="G48" s="36" t="s">
        <v>191</v>
      </c>
    </row>
    <row r="49" spans="1:7" ht="15" customHeight="1" x14ac:dyDescent="0.25">
      <c r="A49" s="31" t="s">
        <v>192</v>
      </c>
      <c r="B49" s="50" t="s">
        <v>193</v>
      </c>
      <c r="C49" s="31" t="s">
        <v>194</v>
      </c>
      <c r="D49" s="51">
        <v>8</v>
      </c>
      <c r="E49" s="52">
        <v>2800</v>
      </c>
      <c r="F49" s="53">
        <f t="shared" si="1"/>
        <v>22400</v>
      </c>
      <c r="G49" s="31" t="s">
        <v>195</v>
      </c>
    </row>
    <row r="50" spans="1:7" ht="15" customHeight="1" x14ac:dyDescent="0.25">
      <c r="A50" s="33" t="s">
        <v>196</v>
      </c>
      <c r="B50" s="34"/>
      <c r="C50" s="34"/>
      <c r="D50" s="34"/>
      <c r="E50" s="34"/>
      <c r="F50" s="34"/>
      <c r="G50" s="35"/>
    </row>
    <row r="51" spans="1:7" ht="21.75" customHeight="1" x14ac:dyDescent="0.25">
      <c r="A51" s="36" t="s">
        <v>197</v>
      </c>
      <c r="B51" s="37" t="s">
        <v>198</v>
      </c>
      <c r="C51" s="36" t="s">
        <v>199</v>
      </c>
      <c r="D51" s="38">
        <v>4</v>
      </c>
      <c r="E51" s="39">
        <v>45000</v>
      </c>
      <c r="F51" s="40">
        <f>D51*E51</f>
        <v>180000</v>
      </c>
      <c r="G51" s="36" t="s">
        <v>200</v>
      </c>
    </row>
    <row r="52" spans="1:7" ht="15" customHeight="1" x14ac:dyDescent="0.25">
      <c r="A52" s="33" t="s">
        <v>201</v>
      </c>
      <c r="B52" s="34"/>
      <c r="C52" s="34"/>
      <c r="D52" s="34"/>
      <c r="E52" s="34"/>
      <c r="F52" s="34"/>
      <c r="G52" s="35"/>
    </row>
    <row r="53" spans="1:7" ht="15" customHeight="1" x14ac:dyDescent="0.25">
      <c r="A53" s="36" t="s">
        <v>202</v>
      </c>
      <c r="B53" s="37" t="s">
        <v>203</v>
      </c>
      <c r="C53" s="36" t="s">
        <v>204</v>
      </c>
      <c r="D53" s="38">
        <v>2</v>
      </c>
      <c r="E53" s="39">
        <v>40000</v>
      </c>
      <c r="F53" s="40">
        <f>D53*E53</f>
        <v>80000</v>
      </c>
      <c r="G53" s="36" t="s">
        <v>205</v>
      </c>
    </row>
    <row r="54" spans="1:7" ht="15" customHeight="1" x14ac:dyDescent="0.25">
      <c r="A54" s="33" t="s">
        <v>206</v>
      </c>
      <c r="B54" s="34"/>
      <c r="C54" s="34"/>
      <c r="D54" s="34"/>
      <c r="E54" s="34"/>
      <c r="F54" s="34"/>
      <c r="G54" s="35"/>
    </row>
    <row r="55" spans="1:7" ht="32.25" customHeight="1" x14ac:dyDescent="0.25">
      <c r="A55" s="31" t="s">
        <v>207</v>
      </c>
      <c r="B55" s="50" t="s">
        <v>208</v>
      </c>
      <c r="C55" s="31" t="s">
        <v>209</v>
      </c>
      <c r="D55" s="51">
        <v>1</v>
      </c>
      <c r="E55" s="52">
        <v>120000</v>
      </c>
      <c r="F55" s="53">
        <f t="shared" ref="F55:F60" si="2">D55*E55</f>
        <v>120000</v>
      </c>
      <c r="G55" s="31" t="s">
        <v>210</v>
      </c>
    </row>
    <row r="56" spans="1:7" ht="15" customHeight="1" x14ac:dyDescent="0.25">
      <c r="A56" s="31" t="s">
        <v>207</v>
      </c>
      <c r="B56" s="50" t="s">
        <v>211</v>
      </c>
      <c r="C56" s="31" t="s">
        <v>212</v>
      </c>
      <c r="D56" s="51">
        <v>1</v>
      </c>
      <c r="E56" s="52">
        <v>79200</v>
      </c>
      <c r="F56" s="53">
        <f t="shared" si="2"/>
        <v>79200</v>
      </c>
      <c r="G56" s="31" t="s">
        <v>213</v>
      </c>
    </row>
    <row r="57" spans="1:7" ht="21.75" customHeight="1" x14ac:dyDescent="0.25">
      <c r="A57" s="36" t="s">
        <v>214</v>
      </c>
      <c r="B57" s="37" t="s">
        <v>215</v>
      </c>
      <c r="C57" s="36" t="s">
        <v>216</v>
      </c>
      <c r="D57" s="38">
        <v>1</v>
      </c>
      <c r="E57" s="39">
        <v>35000</v>
      </c>
      <c r="F57" s="40">
        <f t="shared" si="2"/>
        <v>35000</v>
      </c>
      <c r="G57" s="36" t="s">
        <v>217</v>
      </c>
    </row>
    <row r="58" spans="1:7" ht="21.75" customHeight="1" x14ac:dyDescent="0.25">
      <c r="A58" s="22" t="s">
        <v>218</v>
      </c>
      <c r="B58" s="41" t="s">
        <v>219</v>
      </c>
      <c r="C58" s="22" t="s">
        <v>220</v>
      </c>
      <c r="D58" s="42">
        <v>1</v>
      </c>
      <c r="E58" s="43">
        <v>75000</v>
      </c>
      <c r="F58" s="44">
        <f t="shared" si="2"/>
        <v>75000</v>
      </c>
      <c r="G58" s="22" t="s">
        <v>221</v>
      </c>
    </row>
    <row r="59" spans="1:7" ht="15" customHeight="1" x14ac:dyDescent="0.25">
      <c r="A59" s="22" t="s">
        <v>218</v>
      </c>
      <c r="B59" s="41" t="s">
        <v>222</v>
      </c>
      <c r="C59" s="22" t="s">
        <v>223</v>
      </c>
      <c r="D59" s="42">
        <v>4</v>
      </c>
      <c r="E59" s="43">
        <v>8500</v>
      </c>
      <c r="F59" s="44">
        <f t="shared" si="2"/>
        <v>34000</v>
      </c>
      <c r="G59" s="22" t="s">
        <v>224</v>
      </c>
    </row>
    <row r="60" spans="1:7" ht="21.75" customHeight="1" x14ac:dyDescent="0.25">
      <c r="A60" s="22" t="s">
        <v>218</v>
      </c>
      <c r="B60" s="41" t="s">
        <v>225</v>
      </c>
      <c r="C60" s="22" t="s">
        <v>226</v>
      </c>
      <c r="D60" s="42">
        <v>200</v>
      </c>
      <c r="E60" s="43">
        <v>85</v>
      </c>
      <c r="F60" s="44">
        <f t="shared" si="2"/>
        <v>17000</v>
      </c>
      <c r="G60" s="22" t="s">
        <v>227</v>
      </c>
    </row>
    <row r="61" spans="1:7" ht="15" customHeight="1" x14ac:dyDescent="0.25">
      <c r="A61" s="33" t="s">
        <v>228</v>
      </c>
      <c r="B61" s="34"/>
      <c r="C61" s="34"/>
      <c r="D61" s="34"/>
      <c r="E61" s="34"/>
      <c r="F61" s="34"/>
      <c r="G61" s="35"/>
    </row>
    <row r="62" spans="1:7" ht="21.75" customHeight="1" x14ac:dyDescent="0.25">
      <c r="A62" s="22" t="s">
        <v>229</v>
      </c>
      <c r="B62" s="41" t="s">
        <v>230</v>
      </c>
      <c r="C62" s="22" t="s">
        <v>231</v>
      </c>
      <c r="D62" s="42">
        <v>64</v>
      </c>
      <c r="E62" s="43">
        <v>5950</v>
      </c>
      <c r="F62" s="44">
        <f>D62*E62</f>
        <v>380800</v>
      </c>
      <c r="G62" s="22" t="s">
        <v>232</v>
      </c>
    </row>
    <row r="63" spans="1:7" ht="15" customHeight="1" x14ac:dyDescent="0.25">
      <c r="A63" s="22" t="s">
        <v>229</v>
      </c>
      <c r="B63" s="41" t="s">
        <v>233</v>
      </c>
      <c r="C63" s="22" t="s">
        <v>234</v>
      </c>
      <c r="D63" s="42">
        <v>64</v>
      </c>
      <c r="E63" s="43">
        <v>4995</v>
      </c>
      <c r="F63" s="44">
        <f>D63*E63</f>
        <v>319680</v>
      </c>
      <c r="G63" s="22" t="s">
        <v>235</v>
      </c>
    </row>
    <row r="64" spans="1:7" ht="21.75" customHeight="1" x14ac:dyDescent="0.25">
      <c r="A64" s="36" t="s">
        <v>229</v>
      </c>
      <c r="B64" s="37" t="s">
        <v>236</v>
      </c>
      <c r="C64" s="36" t="s">
        <v>237</v>
      </c>
      <c r="D64" s="38">
        <v>2</v>
      </c>
      <c r="E64" s="39">
        <v>8500</v>
      </c>
      <c r="F64" s="40">
        <f>D64*E64</f>
        <v>17000</v>
      </c>
      <c r="G64" s="36" t="s">
        <v>238</v>
      </c>
    </row>
    <row r="65" spans="1:7" ht="15" customHeight="1" x14ac:dyDescent="0.25">
      <c r="A65" s="33" t="s">
        <v>239</v>
      </c>
      <c r="B65" s="34"/>
      <c r="C65" s="34"/>
      <c r="D65" s="34"/>
      <c r="E65" s="34"/>
      <c r="F65" s="34"/>
      <c r="G65" s="35"/>
    </row>
    <row r="66" spans="1:7" ht="15" customHeight="1" x14ac:dyDescent="0.25">
      <c r="A66" s="36" t="s">
        <v>240</v>
      </c>
      <c r="B66" s="37" t="s">
        <v>241</v>
      </c>
      <c r="C66" s="36" t="s">
        <v>242</v>
      </c>
      <c r="D66" s="38">
        <v>1</v>
      </c>
      <c r="E66" s="39">
        <v>15000</v>
      </c>
      <c r="F66" s="40">
        <f>D66*E66</f>
        <v>15000</v>
      </c>
      <c r="G66" s="36" t="s">
        <v>243</v>
      </c>
    </row>
    <row r="67" spans="1:7" ht="21.75" customHeight="1" x14ac:dyDescent="0.25">
      <c r="A67" s="31" t="s">
        <v>240</v>
      </c>
      <c r="B67" s="50" t="s">
        <v>244</v>
      </c>
      <c r="C67" s="31" t="s">
        <v>245</v>
      </c>
      <c r="D67" s="51">
        <v>1</v>
      </c>
      <c r="E67" s="52">
        <v>18000</v>
      </c>
      <c r="F67" s="53">
        <f>D67*E67</f>
        <v>18000</v>
      </c>
      <c r="G67" s="31" t="s">
        <v>246</v>
      </c>
    </row>
    <row r="68" spans="1:7" ht="15" customHeight="1" x14ac:dyDescent="0.25">
      <c r="A68" s="33" t="s">
        <v>247</v>
      </c>
      <c r="B68" s="34"/>
      <c r="C68" s="34"/>
      <c r="D68" s="34"/>
      <c r="E68" s="34"/>
      <c r="F68" s="34"/>
      <c r="G68" s="35"/>
    </row>
    <row r="69" spans="1:7" ht="32.25" customHeight="1" x14ac:dyDescent="0.25">
      <c r="A69" s="22" t="s">
        <v>248</v>
      </c>
      <c r="B69" s="41" t="s">
        <v>249</v>
      </c>
      <c r="C69" s="22" t="s">
        <v>250</v>
      </c>
      <c r="D69" s="42">
        <v>8</v>
      </c>
      <c r="E69" s="43">
        <v>3000</v>
      </c>
      <c r="F69" s="44">
        <f>D69*E69</f>
        <v>24000</v>
      </c>
      <c r="G69" s="22" t="s">
        <v>251</v>
      </c>
    </row>
    <row r="70" spans="1:7" ht="15" customHeight="1" x14ac:dyDescent="0.25">
      <c r="A70" s="33" t="s">
        <v>252</v>
      </c>
      <c r="B70" s="34"/>
      <c r="C70" s="34"/>
      <c r="D70" s="34"/>
      <c r="E70" s="34"/>
      <c r="F70" s="34"/>
      <c r="G70" s="35"/>
    </row>
    <row r="71" spans="1:7" ht="15" customHeight="1" x14ac:dyDescent="0.25">
      <c r="A71" s="22" t="s">
        <v>253</v>
      </c>
      <c r="B71" s="41" t="s">
        <v>254</v>
      </c>
      <c r="C71" s="22" t="s">
        <v>255</v>
      </c>
      <c r="D71" s="42">
        <v>200</v>
      </c>
      <c r="E71" s="43">
        <v>95</v>
      </c>
      <c r="F71" s="44">
        <f t="shared" ref="F71:F77" si="3">D71*E71</f>
        <v>19000</v>
      </c>
      <c r="G71" s="22" t="s">
        <v>256</v>
      </c>
    </row>
    <row r="72" spans="1:7" ht="21.75" customHeight="1" x14ac:dyDescent="0.25">
      <c r="A72" s="36" t="s">
        <v>253</v>
      </c>
      <c r="B72" s="37" t="s">
        <v>257</v>
      </c>
      <c r="C72" s="36" t="s">
        <v>258</v>
      </c>
      <c r="D72" s="38">
        <v>200</v>
      </c>
      <c r="E72" s="39">
        <v>18</v>
      </c>
      <c r="F72" s="40">
        <f t="shared" si="3"/>
        <v>3600</v>
      </c>
      <c r="G72" s="36" t="s">
        <v>259</v>
      </c>
    </row>
    <row r="73" spans="1:7" ht="15" customHeight="1" x14ac:dyDescent="0.25">
      <c r="A73" s="36" t="s">
        <v>253</v>
      </c>
      <c r="B73" s="37" t="s">
        <v>260</v>
      </c>
      <c r="C73" s="36" t="s">
        <v>261</v>
      </c>
      <c r="D73" s="38">
        <v>10</v>
      </c>
      <c r="E73" s="39">
        <v>450</v>
      </c>
      <c r="F73" s="40">
        <f t="shared" si="3"/>
        <v>4500</v>
      </c>
      <c r="G73" s="36" t="s">
        <v>262</v>
      </c>
    </row>
    <row r="74" spans="1:7" ht="21.75" customHeight="1" x14ac:dyDescent="0.25">
      <c r="A74" s="31" t="s">
        <v>253</v>
      </c>
      <c r="B74" s="50" t="s">
        <v>263</v>
      </c>
      <c r="C74" s="31" t="s">
        <v>264</v>
      </c>
      <c r="D74" s="51">
        <v>64</v>
      </c>
      <c r="E74" s="52">
        <v>85</v>
      </c>
      <c r="F74" s="53">
        <f t="shared" si="3"/>
        <v>5440</v>
      </c>
      <c r="G74" s="31" t="s">
        <v>265</v>
      </c>
    </row>
    <row r="75" spans="1:7" ht="15" customHeight="1" x14ac:dyDescent="0.25">
      <c r="A75" s="36" t="s">
        <v>266</v>
      </c>
      <c r="B75" s="37" t="s">
        <v>267</v>
      </c>
      <c r="C75" s="36" t="s">
        <v>268</v>
      </c>
      <c r="D75" s="38">
        <v>240</v>
      </c>
      <c r="E75" s="39">
        <v>420</v>
      </c>
      <c r="F75" s="40">
        <f t="shared" si="3"/>
        <v>100800</v>
      </c>
      <c r="G75" s="36" t="s">
        <v>269</v>
      </c>
    </row>
    <row r="76" spans="1:7" ht="15" customHeight="1" x14ac:dyDescent="0.25">
      <c r="A76" s="22" t="s">
        <v>266</v>
      </c>
      <c r="B76" s="41" t="s">
        <v>270</v>
      </c>
      <c r="C76" s="22" t="s">
        <v>271</v>
      </c>
      <c r="D76" s="42">
        <v>160</v>
      </c>
      <c r="E76" s="43">
        <v>280</v>
      </c>
      <c r="F76" s="44">
        <f t="shared" si="3"/>
        <v>44800</v>
      </c>
      <c r="G76" s="22" t="s">
        <v>272</v>
      </c>
    </row>
    <row r="77" spans="1:7" ht="23.25" customHeight="1" x14ac:dyDescent="0.25">
      <c r="A77" s="31" t="s">
        <v>266</v>
      </c>
      <c r="B77" s="50" t="s">
        <v>273</v>
      </c>
      <c r="C77" s="31" t="s">
        <v>274</v>
      </c>
      <c r="D77" s="51">
        <v>80</v>
      </c>
      <c r="E77" s="52">
        <v>185</v>
      </c>
      <c r="F77" s="53">
        <f t="shared" si="3"/>
        <v>14800</v>
      </c>
      <c r="G77" s="31" t="s">
        <v>275</v>
      </c>
    </row>
    <row r="78" spans="1:7" ht="15" customHeight="1" x14ac:dyDescent="0.25">
      <c r="A78" s="54" t="s">
        <v>276</v>
      </c>
      <c r="B78" s="34"/>
      <c r="C78" s="34"/>
      <c r="D78" s="34"/>
      <c r="E78" s="35"/>
      <c r="F78" s="55">
        <f>SUM(F4:F77)</f>
        <v>5761420</v>
      </c>
      <c r="G78" s="56" t="s">
        <v>277</v>
      </c>
    </row>
    <row r="80" spans="1:7" ht="32.25" customHeight="1" x14ac:dyDescent="0.25">
      <c r="A80" s="57" t="s">
        <v>278</v>
      </c>
      <c r="C80" s="58" t="s">
        <v>279</v>
      </c>
      <c r="D80" s="59" t="s">
        <v>280</v>
      </c>
      <c r="E80" s="60" t="s">
        <v>281</v>
      </c>
      <c r="F80" s="61" t="s">
        <v>282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zoomScaleNormal="100" workbookViewId="0"/>
  </sheetViews>
  <sheetFormatPr defaultColWidth="8.7109375" defaultRowHeight="15" x14ac:dyDescent="0.25"/>
  <cols>
    <col min="1" max="1" width="30" customWidth="1"/>
    <col min="2" max="2" width="70" customWidth="1"/>
  </cols>
  <sheetData>
    <row r="1" spans="1:2" ht="27.75" customHeight="1" x14ac:dyDescent="0.25">
      <c r="A1" s="14" t="s">
        <v>283</v>
      </c>
      <c r="B1" s="14"/>
    </row>
    <row r="2" spans="1:2" ht="21.75" customHeight="1" x14ac:dyDescent="0.25">
      <c r="A2" s="17" t="s">
        <v>284</v>
      </c>
      <c r="B2" s="17" t="s">
        <v>285</v>
      </c>
    </row>
    <row r="3" spans="1:2" ht="54.75" customHeight="1" x14ac:dyDescent="0.25">
      <c r="A3" s="62" t="s">
        <v>286</v>
      </c>
      <c r="B3" s="36" t="s">
        <v>287</v>
      </c>
    </row>
    <row r="4" spans="1:2" ht="54.75" customHeight="1" x14ac:dyDescent="0.25">
      <c r="A4" s="18" t="s">
        <v>288</v>
      </c>
      <c r="B4" s="19" t="s">
        <v>289</v>
      </c>
    </row>
    <row r="5" spans="1:2" ht="54.75" customHeight="1" x14ac:dyDescent="0.25">
      <c r="A5" s="62" t="s">
        <v>290</v>
      </c>
      <c r="B5" s="36" t="s">
        <v>291</v>
      </c>
    </row>
    <row r="6" spans="1:2" ht="54.75" customHeight="1" x14ac:dyDescent="0.25">
      <c r="A6" s="27" t="s">
        <v>292</v>
      </c>
      <c r="B6" s="28" t="s">
        <v>293</v>
      </c>
    </row>
    <row r="7" spans="1:2" ht="54.75" customHeight="1" x14ac:dyDescent="0.25">
      <c r="A7" s="62" t="s">
        <v>294</v>
      </c>
      <c r="B7" s="36" t="s">
        <v>295</v>
      </c>
    </row>
    <row r="8" spans="1:2" ht="54.75" customHeight="1" x14ac:dyDescent="0.25">
      <c r="A8" s="27" t="s">
        <v>296</v>
      </c>
      <c r="B8" s="28" t="s">
        <v>297</v>
      </c>
    </row>
    <row r="9" spans="1:2" ht="54.75" customHeight="1" x14ac:dyDescent="0.25">
      <c r="A9" s="18" t="s">
        <v>298</v>
      </c>
      <c r="B9" s="19" t="s">
        <v>299</v>
      </c>
    </row>
    <row r="10" spans="1:2" ht="54.75" customHeight="1" x14ac:dyDescent="0.25">
      <c r="A10" s="27" t="s">
        <v>300</v>
      </c>
      <c r="B10" s="28" t="s">
        <v>301</v>
      </c>
    </row>
    <row r="11" spans="1:2" ht="54.75" customHeight="1" x14ac:dyDescent="0.25">
      <c r="A11" s="62" t="s">
        <v>302</v>
      </c>
      <c r="B11" s="36" t="s">
        <v>303</v>
      </c>
    </row>
    <row r="12" spans="1:2" ht="54.75" customHeight="1" x14ac:dyDescent="0.25">
      <c r="A12" s="27" t="s">
        <v>304</v>
      </c>
      <c r="B12" s="28" t="s">
        <v>305</v>
      </c>
    </row>
    <row r="13" spans="1:2" ht="54.75" customHeight="1" x14ac:dyDescent="0.25">
      <c r="A13" s="62" t="s">
        <v>306</v>
      </c>
      <c r="B13" s="36" t="s">
        <v>307</v>
      </c>
    </row>
    <row r="14" spans="1:2" ht="54.75" customHeight="1" x14ac:dyDescent="0.25">
      <c r="A14" s="27" t="s">
        <v>308</v>
      </c>
      <c r="B14" s="28" t="s">
        <v>309</v>
      </c>
    </row>
    <row r="15" spans="1:2" ht="54.75" customHeight="1" x14ac:dyDescent="0.25">
      <c r="A15" s="62" t="s">
        <v>310</v>
      </c>
      <c r="B15" s="36" t="s">
        <v>311</v>
      </c>
    </row>
    <row r="16" spans="1:2" ht="54.75" customHeight="1" x14ac:dyDescent="0.25">
      <c r="A16" s="27" t="s">
        <v>312</v>
      </c>
      <c r="B16" s="28" t="s">
        <v>313</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7"/>
  <sheetViews>
    <sheetView zoomScaleNormal="100" workbookViewId="0"/>
  </sheetViews>
  <sheetFormatPr defaultColWidth="8.7109375" defaultRowHeight="15" x14ac:dyDescent="0.25"/>
  <cols>
    <col min="1" max="1" width="24" customWidth="1"/>
    <col min="2" max="2" width="38" customWidth="1"/>
    <col min="3" max="3" width="34" customWidth="1"/>
    <col min="4" max="4" width="9" customWidth="1"/>
    <col min="5" max="5" width="14" customWidth="1"/>
    <col min="6" max="6" width="16" customWidth="1"/>
    <col min="7" max="7" width="42" customWidth="1"/>
  </cols>
  <sheetData>
    <row r="1" spans="1:7" ht="27.75" customHeight="1" x14ac:dyDescent="0.25">
      <c r="A1" s="12" t="s">
        <v>314</v>
      </c>
      <c r="B1" s="12"/>
      <c r="C1" s="12"/>
      <c r="D1" s="12"/>
      <c r="E1" s="12"/>
      <c r="F1" s="12"/>
      <c r="G1" s="12"/>
    </row>
    <row r="2" spans="1:7" ht="19.5" customHeight="1" x14ac:dyDescent="0.25">
      <c r="A2" s="11" t="s">
        <v>315</v>
      </c>
      <c r="B2" s="11"/>
      <c r="C2" s="11"/>
      <c r="D2" s="11"/>
      <c r="E2" s="11"/>
      <c r="F2" s="11"/>
      <c r="G2" s="11"/>
    </row>
    <row r="3" spans="1:7" ht="30" customHeight="1" x14ac:dyDescent="0.25">
      <c r="A3" s="63" t="s">
        <v>60</v>
      </c>
      <c r="B3" s="63" t="s">
        <v>61</v>
      </c>
      <c r="C3" s="63" t="s">
        <v>62</v>
      </c>
      <c r="D3" s="63" t="s">
        <v>63</v>
      </c>
      <c r="E3" s="63" t="s">
        <v>64</v>
      </c>
      <c r="F3" s="63" t="s">
        <v>65</v>
      </c>
      <c r="G3" s="63" t="s">
        <v>66</v>
      </c>
    </row>
    <row r="4" spans="1:7" ht="19.5" customHeight="1" x14ac:dyDescent="0.25">
      <c r="A4" s="10" t="s">
        <v>67</v>
      </c>
      <c r="B4" s="10"/>
      <c r="C4" s="10"/>
      <c r="D4" s="10"/>
      <c r="E4" s="10"/>
      <c r="F4" s="10"/>
      <c r="G4" s="10"/>
    </row>
    <row r="5" spans="1:7" ht="48" customHeight="1" x14ac:dyDescent="0.25">
      <c r="A5" s="36" t="s">
        <v>68</v>
      </c>
      <c r="B5" s="37" t="s">
        <v>69</v>
      </c>
      <c r="C5" s="36" t="s">
        <v>70</v>
      </c>
      <c r="D5" s="38">
        <v>2</v>
      </c>
      <c r="E5" s="39">
        <v>95000</v>
      </c>
      <c r="F5" s="40">
        <f t="shared" ref="F5:F10" si="0">D5*E5</f>
        <v>190000</v>
      </c>
      <c r="G5" s="36" t="s">
        <v>316</v>
      </c>
    </row>
    <row r="6" spans="1:7" ht="48" customHeight="1" x14ac:dyDescent="0.25">
      <c r="A6" s="36" t="s">
        <v>68</v>
      </c>
      <c r="B6" s="37" t="s">
        <v>72</v>
      </c>
      <c r="C6" s="36" t="s">
        <v>73</v>
      </c>
      <c r="D6" s="38">
        <v>2</v>
      </c>
      <c r="E6" s="39">
        <v>65000</v>
      </c>
      <c r="F6" s="40">
        <f t="shared" si="0"/>
        <v>130000</v>
      </c>
      <c r="G6" s="36" t="s">
        <v>317</v>
      </c>
    </row>
    <row r="7" spans="1:7" ht="48" customHeight="1" x14ac:dyDescent="0.25">
      <c r="A7" s="36" t="s">
        <v>68</v>
      </c>
      <c r="B7" s="37" t="s">
        <v>75</v>
      </c>
      <c r="C7" s="36" t="s">
        <v>76</v>
      </c>
      <c r="D7" s="38">
        <v>4</v>
      </c>
      <c r="E7" s="39">
        <v>22000</v>
      </c>
      <c r="F7" s="40">
        <f t="shared" si="0"/>
        <v>88000</v>
      </c>
      <c r="G7" s="36" t="s">
        <v>318</v>
      </c>
    </row>
    <row r="8" spans="1:7" ht="48" customHeight="1" x14ac:dyDescent="0.25">
      <c r="A8" s="36" t="s">
        <v>68</v>
      </c>
      <c r="B8" s="37" t="s">
        <v>78</v>
      </c>
      <c r="C8" s="36" t="s">
        <v>79</v>
      </c>
      <c r="D8" s="38">
        <v>4</v>
      </c>
      <c r="E8" s="39">
        <v>6500</v>
      </c>
      <c r="F8" s="40">
        <f t="shared" si="0"/>
        <v>26000</v>
      </c>
      <c r="G8" s="36" t="s">
        <v>319</v>
      </c>
    </row>
    <row r="9" spans="1:7" ht="48" customHeight="1" x14ac:dyDescent="0.25">
      <c r="A9" s="36" t="s">
        <v>68</v>
      </c>
      <c r="B9" s="37" t="s">
        <v>81</v>
      </c>
      <c r="C9" s="36" t="s">
        <v>82</v>
      </c>
      <c r="D9" s="38">
        <v>1</v>
      </c>
      <c r="E9" s="39">
        <v>8000</v>
      </c>
      <c r="F9" s="40">
        <f t="shared" si="0"/>
        <v>8000</v>
      </c>
      <c r="G9" s="36" t="s">
        <v>320</v>
      </c>
    </row>
    <row r="10" spans="1:7" ht="48" customHeight="1" x14ac:dyDescent="0.25">
      <c r="A10" s="22" t="s">
        <v>68</v>
      </c>
      <c r="B10" s="41" t="s">
        <v>84</v>
      </c>
      <c r="C10" s="22" t="s">
        <v>321</v>
      </c>
      <c r="D10" s="42">
        <v>1</v>
      </c>
      <c r="E10" s="43">
        <v>120000</v>
      </c>
      <c r="F10" s="44">
        <f t="shared" si="0"/>
        <v>120000</v>
      </c>
      <c r="G10" s="22" t="s">
        <v>322</v>
      </c>
    </row>
    <row r="11" spans="1:7" ht="48" customHeight="1" x14ac:dyDescent="0.25">
      <c r="A11" s="19" t="s">
        <v>68</v>
      </c>
      <c r="B11" s="45" t="s">
        <v>87</v>
      </c>
      <c r="C11" s="19" t="s">
        <v>88</v>
      </c>
      <c r="D11" s="46">
        <v>0</v>
      </c>
      <c r="E11" s="47">
        <v>0</v>
      </c>
      <c r="F11" s="48">
        <v>0</v>
      </c>
      <c r="G11" s="19" t="s">
        <v>323</v>
      </c>
    </row>
    <row r="12" spans="1:7" ht="19.5" customHeight="1" x14ac:dyDescent="0.25">
      <c r="A12" s="10" t="s">
        <v>90</v>
      </c>
      <c r="B12" s="10"/>
      <c r="C12" s="10"/>
      <c r="D12" s="10"/>
      <c r="E12" s="10"/>
      <c r="F12" s="10"/>
      <c r="G12" s="10"/>
    </row>
    <row r="13" spans="1:7" ht="48" customHeight="1" x14ac:dyDescent="0.25">
      <c r="A13" s="64" t="s">
        <v>91</v>
      </c>
      <c r="B13" s="65" t="s">
        <v>92</v>
      </c>
      <c r="C13" s="64" t="s">
        <v>93</v>
      </c>
      <c r="D13" s="66">
        <v>6</v>
      </c>
      <c r="E13" s="67">
        <v>28000</v>
      </c>
      <c r="F13" s="68">
        <f>D13*E13</f>
        <v>168000</v>
      </c>
      <c r="G13" s="64" t="s">
        <v>324</v>
      </c>
    </row>
    <row r="14" spans="1:7" ht="48" customHeight="1" x14ac:dyDescent="0.25">
      <c r="A14" s="19" t="s">
        <v>91</v>
      </c>
      <c r="B14" s="45" t="s">
        <v>325</v>
      </c>
      <c r="C14" s="19" t="s">
        <v>96</v>
      </c>
      <c r="D14" s="46">
        <v>0</v>
      </c>
      <c r="E14" s="47">
        <v>0</v>
      </c>
      <c r="F14" s="48">
        <v>0</v>
      </c>
      <c r="G14" s="19" t="s">
        <v>326</v>
      </c>
    </row>
    <row r="15" spans="1:7" ht="19.5" customHeight="1" x14ac:dyDescent="0.25">
      <c r="A15" s="10" t="s">
        <v>98</v>
      </c>
      <c r="B15" s="10"/>
      <c r="C15" s="10"/>
      <c r="D15" s="10"/>
      <c r="E15" s="10"/>
      <c r="F15" s="10"/>
      <c r="G15" s="10"/>
    </row>
    <row r="16" spans="1:7" ht="48" customHeight="1" x14ac:dyDescent="0.25">
      <c r="A16" s="64" t="s">
        <v>99</v>
      </c>
      <c r="B16" s="65" t="s">
        <v>100</v>
      </c>
      <c r="C16" s="64" t="s">
        <v>101</v>
      </c>
      <c r="D16" s="66">
        <v>6</v>
      </c>
      <c r="E16" s="67">
        <v>24000</v>
      </c>
      <c r="F16" s="68">
        <f>D16*E16</f>
        <v>144000</v>
      </c>
      <c r="G16" s="64" t="s">
        <v>327</v>
      </c>
    </row>
    <row r="17" spans="1:7" ht="19.5" customHeight="1" x14ac:dyDescent="0.25">
      <c r="A17" s="10" t="s">
        <v>103</v>
      </c>
      <c r="B17" s="10"/>
      <c r="C17" s="10"/>
      <c r="D17" s="10"/>
      <c r="E17" s="10"/>
      <c r="F17" s="10"/>
      <c r="G17" s="10"/>
    </row>
    <row r="18" spans="1:7" ht="21.75" customHeight="1" x14ac:dyDescent="0.25">
      <c r="A18" s="9" t="s">
        <v>104</v>
      </c>
      <c r="B18" s="9"/>
      <c r="C18" s="9"/>
      <c r="D18" s="9"/>
      <c r="E18" s="9"/>
      <c r="F18" s="9"/>
      <c r="G18" s="9"/>
    </row>
    <row r="19" spans="1:7" ht="19.5" customHeight="1" x14ac:dyDescent="0.25">
      <c r="A19" s="10" t="s">
        <v>105</v>
      </c>
      <c r="B19" s="10"/>
      <c r="C19" s="10"/>
      <c r="D19" s="10"/>
      <c r="E19" s="10"/>
      <c r="F19" s="10"/>
      <c r="G19" s="10"/>
    </row>
    <row r="20" spans="1:7" ht="48" customHeight="1" x14ac:dyDescent="0.25">
      <c r="A20" s="31" t="s">
        <v>106</v>
      </c>
      <c r="B20" s="50" t="s">
        <v>107</v>
      </c>
      <c r="C20" s="31" t="s">
        <v>108</v>
      </c>
      <c r="D20" s="51">
        <v>2</v>
      </c>
      <c r="E20" s="52">
        <v>22000</v>
      </c>
      <c r="F20" s="53">
        <f>D20*E20</f>
        <v>44000</v>
      </c>
      <c r="G20" s="31" t="s">
        <v>328</v>
      </c>
    </row>
    <row r="21" spans="1:7" ht="48" customHeight="1" x14ac:dyDescent="0.25">
      <c r="A21" s="31" t="s">
        <v>106</v>
      </c>
      <c r="B21" s="50" t="s">
        <v>110</v>
      </c>
      <c r="C21" s="31" t="s">
        <v>329</v>
      </c>
      <c r="D21" s="51">
        <v>2</v>
      </c>
      <c r="E21" s="52">
        <v>35000</v>
      </c>
      <c r="F21" s="53">
        <f>D21*E21</f>
        <v>70000</v>
      </c>
      <c r="G21" s="31" t="s">
        <v>330</v>
      </c>
    </row>
    <row r="22" spans="1:7" ht="19.5" customHeight="1" x14ac:dyDescent="0.25">
      <c r="A22" s="10" t="s">
        <v>331</v>
      </c>
      <c r="B22" s="10"/>
      <c r="C22" s="10"/>
      <c r="D22" s="10"/>
      <c r="E22" s="10"/>
      <c r="F22" s="10"/>
      <c r="G22" s="10"/>
    </row>
    <row r="23" spans="1:7" ht="48" customHeight="1" x14ac:dyDescent="0.25">
      <c r="A23" s="64" t="s">
        <v>332</v>
      </c>
      <c r="B23" s="65" t="s">
        <v>115</v>
      </c>
      <c r="C23" s="64" t="s">
        <v>116</v>
      </c>
      <c r="D23" s="66">
        <v>2</v>
      </c>
      <c r="E23" s="67">
        <v>28000</v>
      </c>
      <c r="F23" s="68">
        <f>D23*E23</f>
        <v>56000</v>
      </c>
      <c r="G23" s="64" t="s">
        <v>333</v>
      </c>
    </row>
    <row r="24" spans="1:7" ht="48" customHeight="1" x14ac:dyDescent="0.25">
      <c r="A24" s="64" t="s">
        <v>332</v>
      </c>
      <c r="B24" s="65" t="s">
        <v>118</v>
      </c>
      <c r="C24" s="64" t="s">
        <v>119</v>
      </c>
      <c r="D24" s="66">
        <v>16</v>
      </c>
      <c r="E24" s="67">
        <v>22000</v>
      </c>
      <c r="F24" s="68">
        <f>D24*E24</f>
        <v>352000</v>
      </c>
      <c r="G24" s="64" t="s">
        <v>334</v>
      </c>
    </row>
    <row r="25" spans="1:7" ht="48" customHeight="1" x14ac:dyDescent="0.25">
      <c r="A25" s="36" t="s">
        <v>332</v>
      </c>
      <c r="B25" s="37" t="s">
        <v>121</v>
      </c>
      <c r="C25" s="36" t="s">
        <v>122</v>
      </c>
      <c r="D25" s="38">
        <v>2</v>
      </c>
      <c r="E25" s="39">
        <v>48000</v>
      </c>
      <c r="F25" s="40">
        <f>D25*E25</f>
        <v>96000</v>
      </c>
      <c r="G25" s="36" t="s">
        <v>335</v>
      </c>
    </row>
    <row r="26" spans="1:7" ht="19.5" customHeight="1" x14ac:dyDescent="0.25">
      <c r="A26" s="10" t="s">
        <v>124</v>
      </c>
      <c r="B26" s="10"/>
      <c r="C26" s="10"/>
      <c r="D26" s="10"/>
      <c r="E26" s="10"/>
      <c r="F26" s="10"/>
      <c r="G26" s="10"/>
    </row>
    <row r="27" spans="1:7" ht="48" customHeight="1" x14ac:dyDescent="0.25">
      <c r="A27" s="31" t="s">
        <v>125</v>
      </c>
      <c r="B27" s="50" t="s">
        <v>126</v>
      </c>
      <c r="C27" s="31" t="s">
        <v>336</v>
      </c>
      <c r="D27" s="51">
        <v>2</v>
      </c>
      <c r="E27" s="52">
        <v>185000</v>
      </c>
      <c r="F27" s="53">
        <f>D27*E27</f>
        <v>370000</v>
      </c>
      <c r="G27" s="31" t="s">
        <v>337</v>
      </c>
    </row>
    <row r="28" spans="1:7" ht="48" customHeight="1" x14ac:dyDescent="0.25">
      <c r="A28" s="31" t="s">
        <v>125</v>
      </c>
      <c r="B28" s="50" t="s">
        <v>129</v>
      </c>
      <c r="C28" s="31" t="s">
        <v>338</v>
      </c>
      <c r="D28" s="51">
        <v>2</v>
      </c>
      <c r="E28" s="52">
        <v>95000</v>
      </c>
      <c r="F28" s="53">
        <f>D28*E28</f>
        <v>190000</v>
      </c>
      <c r="G28" s="31" t="s">
        <v>339</v>
      </c>
    </row>
    <row r="29" spans="1:7" ht="48" customHeight="1" x14ac:dyDescent="0.25">
      <c r="A29" s="31" t="s">
        <v>125</v>
      </c>
      <c r="B29" s="50" t="s">
        <v>132</v>
      </c>
      <c r="C29" s="31" t="s">
        <v>133</v>
      </c>
      <c r="D29" s="51">
        <v>2</v>
      </c>
      <c r="E29" s="52">
        <v>85000</v>
      </c>
      <c r="F29" s="53">
        <f>D29*E29</f>
        <v>170000</v>
      </c>
      <c r="G29" s="31" t="s">
        <v>340</v>
      </c>
    </row>
    <row r="30" spans="1:7" ht="48" customHeight="1" x14ac:dyDescent="0.25">
      <c r="A30" s="19" t="s">
        <v>125</v>
      </c>
      <c r="B30" s="45" t="s">
        <v>135</v>
      </c>
      <c r="C30" s="19" t="s">
        <v>341</v>
      </c>
      <c r="D30" s="46">
        <v>0</v>
      </c>
      <c r="E30" s="47">
        <v>0</v>
      </c>
      <c r="F30" s="48">
        <v>0</v>
      </c>
      <c r="G30" s="19" t="s">
        <v>342</v>
      </c>
    </row>
    <row r="31" spans="1:7" ht="19.5" customHeight="1" x14ac:dyDescent="0.25">
      <c r="A31" s="10" t="s">
        <v>343</v>
      </c>
      <c r="B31" s="10"/>
      <c r="C31" s="10"/>
      <c r="D31" s="10"/>
      <c r="E31" s="10"/>
      <c r="F31" s="10"/>
      <c r="G31" s="10"/>
    </row>
    <row r="32" spans="1:7" ht="48" customHeight="1" x14ac:dyDescent="0.25">
      <c r="A32" s="31" t="s">
        <v>139</v>
      </c>
      <c r="B32" s="50" t="s">
        <v>140</v>
      </c>
      <c r="C32" s="31" t="s">
        <v>344</v>
      </c>
      <c r="D32" s="51">
        <v>2</v>
      </c>
      <c r="E32" s="52">
        <v>185000</v>
      </c>
      <c r="F32" s="53">
        <f>D32*E32</f>
        <v>370000</v>
      </c>
      <c r="G32" s="31" t="s">
        <v>345</v>
      </c>
    </row>
    <row r="33" spans="1:7" ht="48" customHeight="1" x14ac:dyDescent="0.25">
      <c r="A33" s="31" t="s">
        <v>139</v>
      </c>
      <c r="B33" s="50" t="s">
        <v>346</v>
      </c>
      <c r="C33" s="31" t="s">
        <v>144</v>
      </c>
      <c r="D33" s="51">
        <v>2</v>
      </c>
      <c r="E33" s="52">
        <v>28000</v>
      </c>
      <c r="F33" s="53">
        <f>D33*E33</f>
        <v>56000</v>
      </c>
      <c r="G33" s="31" t="s">
        <v>347</v>
      </c>
    </row>
    <row r="34" spans="1:7" ht="19.5" customHeight="1" x14ac:dyDescent="0.25">
      <c r="A34" s="10" t="s">
        <v>146</v>
      </c>
      <c r="B34" s="10"/>
      <c r="C34" s="10"/>
      <c r="D34" s="10"/>
      <c r="E34" s="10"/>
      <c r="F34" s="10"/>
      <c r="G34" s="10"/>
    </row>
    <row r="35" spans="1:7" ht="48" customHeight="1" x14ac:dyDescent="0.25">
      <c r="A35" s="36" t="s">
        <v>147</v>
      </c>
      <c r="B35" s="37" t="s">
        <v>148</v>
      </c>
      <c r="C35" s="36" t="s">
        <v>149</v>
      </c>
      <c r="D35" s="38">
        <v>2</v>
      </c>
      <c r="E35" s="39">
        <v>42000</v>
      </c>
      <c r="F35" s="40">
        <f>D35*E35</f>
        <v>84000</v>
      </c>
      <c r="G35" s="36" t="s">
        <v>348</v>
      </c>
    </row>
    <row r="36" spans="1:7" ht="48" customHeight="1" x14ac:dyDescent="0.25">
      <c r="A36" s="36" t="s">
        <v>147</v>
      </c>
      <c r="B36" s="37" t="s">
        <v>151</v>
      </c>
      <c r="C36" s="36" t="s">
        <v>152</v>
      </c>
      <c r="D36" s="38">
        <v>4</v>
      </c>
      <c r="E36" s="39">
        <v>28000</v>
      </c>
      <c r="F36" s="40">
        <f>D36*E36</f>
        <v>112000</v>
      </c>
      <c r="G36" s="36" t="s">
        <v>153</v>
      </c>
    </row>
    <row r="37" spans="1:7" ht="48" customHeight="1" x14ac:dyDescent="0.25">
      <c r="A37" s="36" t="s">
        <v>147</v>
      </c>
      <c r="B37" s="37" t="s">
        <v>154</v>
      </c>
      <c r="C37" s="36" t="s">
        <v>155</v>
      </c>
      <c r="D37" s="38">
        <v>2</v>
      </c>
      <c r="E37" s="39">
        <v>35000</v>
      </c>
      <c r="F37" s="40">
        <f>D37*E37</f>
        <v>70000</v>
      </c>
      <c r="G37" s="36" t="s">
        <v>349</v>
      </c>
    </row>
    <row r="38" spans="1:7" ht="48" customHeight="1" x14ac:dyDescent="0.25">
      <c r="A38" s="22" t="s">
        <v>147</v>
      </c>
      <c r="B38" s="41" t="s">
        <v>157</v>
      </c>
      <c r="C38" s="22" t="s">
        <v>158</v>
      </c>
      <c r="D38" s="42">
        <v>48</v>
      </c>
      <c r="E38" s="43">
        <v>2800</v>
      </c>
      <c r="F38" s="44">
        <f>D38*E38</f>
        <v>134400</v>
      </c>
      <c r="G38" s="22" t="s">
        <v>350</v>
      </c>
    </row>
    <row r="39" spans="1:7" ht="19.5" customHeight="1" x14ac:dyDescent="0.25">
      <c r="A39" s="10" t="s">
        <v>351</v>
      </c>
      <c r="B39" s="10"/>
      <c r="C39" s="10"/>
      <c r="D39" s="10"/>
      <c r="E39" s="10"/>
      <c r="F39" s="10"/>
      <c r="G39" s="10"/>
    </row>
    <row r="40" spans="1:7" ht="48" customHeight="1" x14ac:dyDescent="0.25">
      <c r="A40" s="31" t="s">
        <v>161</v>
      </c>
      <c r="B40" s="50" t="s">
        <v>162</v>
      </c>
      <c r="C40" s="31" t="s">
        <v>163</v>
      </c>
      <c r="D40" s="51">
        <v>1</v>
      </c>
      <c r="E40" s="52">
        <v>95000</v>
      </c>
      <c r="F40" s="53">
        <f>D40*E40</f>
        <v>95000</v>
      </c>
      <c r="G40" s="31" t="s">
        <v>352</v>
      </c>
    </row>
    <row r="41" spans="1:7" ht="19.5" customHeight="1" x14ac:dyDescent="0.25">
      <c r="A41" s="10" t="s">
        <v>353</v>
      </c>
      <c r="B41" s="10"/>
      <c r="C41" s="10"/>
      <c r="D41" s="10"/>
      <c r="E41" s="10"/>
      <c r="F41" s="10"/>
      <c r="G41" s="10"/>
    </row>
    <row r="42" spans="1:7" ht="48" customHeight="1" x14ac:dyDescent="0.25">
      <c r="A42" s="64" t="s">
        <v>354</v>
      </c>
      <c r="B42" s="65" t="s">
        <v>355</v>
      </c>
      <c r="C42" s="64" t="s">
        <v>356</v>
      </c>
      <c r="D42" s="66">
        <v>2</v>
      </c>
      <c r="E42" s="67">
        <v>38000</v>
      </c>
      <c r="F42" s="68">
        <f>D42*E42</f>
        <v>76000</v>
      </c>
      <c r="G42" s="64" t="s">
        <v>357</v>
      </c>
    </row>
    <row r="43" spans="1:7" ht="48" customHeight="1" x14ac:dyDescent="0.25">
      <c r="A43" s="64" t="s">
        <v>177</v>
      </c>
      <c r="B43" s="65" t="s">
        <v>358</v>
      </c>
      <c r="C43" s="64" t="s">
        <v>359</v>
      </c>
      <c r="D43" s="66">
        <v>8</v>
      </c>
      <c r="E43" s="67">
        <v>28000</v>
      </c>
      <c r="F43" s="68">
        <f>D43*E43</f>
        <v>224000</v>
      </c>
      <c r="G43" s="64" t="s">
        <v>360</v>
      </c>
    </row>
    <row r="44" spans="1:7" ht="48" customHeight="1" x14ac:dyDescent="0.25">
      <c r="A44" s="64" t="s">
        <v>181</v>
      </c>
      <c r="B44" s="65" t="s">
        <v>182</v>
      </c>
      <c r="C44" s="64" t="s">
        <v>183</v>
      </c>
      <c r="D44" s="66">
        <v>2</v>
      </c>
      <c r="E44" s="67">
        <v>12000</v>
      </c>
      <c r="F44" s="68">
        <f>D44*E44</f>
        <v>24000</v>
      </c>
      <c r="G44" s="64" t="s">
        <v>361</v>
      </c>
    </row>
    <row r="45" spans="1:7" ht="48" customHeight="1" x14ac:dyDescent="0.25">
      <c r="A45" s="64" t="s">
        <v>185</v>
      </c>
      <c r="B45" s="65" t="s">
        <v>362</v>
      </c>
      <c r="C45" s="64" t="s">
        <v>363</v>
      </c>
      <c r="D45" s="66">
        <v>2</v>
      </c>
      <c r="E45" s="67">
        <v>28000</v>
      </c>
      <c r="F45" s="68">
        <f>D45*E45</f>
        <v>56000</v>
      </c>
      <c r="G45" s="64" t="s">
        <v>364</v>
      </c>
    </row>
    <row r="46" spans="1:7" ht="48" customHeight="1" x14ac:dyDescent="0.25">
      <c r="A46" s="31" t="s">
        <v>192</v>
      </c>
      <c r="B46" s="50" t="s">
        <v>193</v>
      </c>
      <c r="C46" s="31" t="s">
        <v>194</v>
      </c>
      <c r="D46" s="51">
        <v>8</v>
      </c>
      <c r="E46" s="52">
        <v>2800</v>
      </c>
      <c r="F46" s="53">
        <f>D46*E46</f>
        <v>22400</v>
      </c>
      <c r="G46" s="31" t="s">
        <v>365</v>
      </c>
    </row>
    <row r="47" spans="1:7" ht="19.5" customHeight="1" x14ac:dyDescent="0.25">
      <c r="A47" s="10" t="s">
        <v>196</v>
      </c>
      <c r="B47" s="10"/>
      <c r="C47" s="10"/>
      <c r="D47" s="10"/>
      <c r="E47" s="10"/>
      <c r="F47" s="10"/>
      <c r="G47" s="10"/>
    </row>
    <row r="48" spans="1:7" ht="48" customHeight="1" x14ac:dyDescent="0.25">
      <c r="A48" s="36" t="s">
        <v>197</v>
      </c>
      <c r="B48" s="37" t="s">
        <v>198</v>
      </c>
      <c r="C48" s="36" t="s">
        <v>199</v>
      </c>
      <c r="D48" s="38">
        <v>4</v>
      </c>
      <c r="E48" s="39">
        <v>45000</v>
      </c>
      <c r="F48" s="40">
        <f>D48*E48</f>
        <v>180000</v>
      </c>
      <c r="G48" s="36" t="s">
        <v>366</v>
      </c>
    </row>
    <row r="49" spans="1:7" ht="19.5" customHeight="1" x14ac:dyDescent="0.25">
      <c r="A49" s="10" t="s">
        <v>367</v>
      </c>
      <c r="B49" s="10"/>
      <c r="C49" s="10"/>
      <c r="D49" s="10"/>
      <c r="E49" s="10"/>
      <c r="F49" s="10"/>
      <c r="G49" s="10"/>
    </row>
    <row r="50" spans="1:7" ht="48" customHeight="1" x14ac:dyDescent="0.25">
      <c r="A50" s="64" t="s">
        <v>202</v>
      </c>
      <c r="B50" s="65" t="s">
        <v>368</v>
      </c>
      <c r="C50" s="64" t="s">
        <v>369</v>
      </c>
      <c r="D50" s="66">
        <v>2</v>
      </c>
      <c r="E50" s="67">
        <v>28000</v>
      </c>
      <c r="F50" s="68">
        <f>D50*E50</f>
        <v>56000</v>
      </c>
      <c r="G50" s="64" t="s">
        <v>370</v>
      </c>
    </row>
    <row r="51" spans="1:7" ht="19.5" customHeight="1" x14ac:dyDescent="0.25">
      <c r="A51" s="10" t="s">
        <v>206</v>
      </c>
      <c r="B51" s="10"/>
      <c r="C51" s="10"/>
      <c r="D51" s="10"/>
      <c r="E51" s="10"/>
      <c r="F51" s="10"/>
      <c r="G51" s="10"/>
    </row>
    <row r="52" spans="1:7" ht="48" customHeight="1" x14ac:dyDescent="0.25">
      <c r="A52" s="31" t="s">
        <v>207</v>
      </c>
      <c r="B52" s="50" t="s">
        <v>208</v>
      </c>
      <c r="C52" s="31" t="s">
        <v>371</v>
      </c>
      <c r="D52" s="51">
        <v>1</v>
      </c>
      <c r="E52" s="52">
        <v>120000</v>
      </c>
      <c r="F52" s="53">
        <f t="shared" ref="F52:F57" si="1">D52*E52</f>
        <v>120000</v>
      </c>
      <c r="G52" s="31" t="s">
        <v>372</v>
      </c>
    </row>
    <row r="53" spans="1:7" ht="48" customHeight="1" x14ac:dyDescent="0.25">
      <c r="A53" s="31" t="s">
        <v>207</v>
      </c>
      <c r="B53" s="50" t="s">
        <v>211</v>
      </c>
      <c r="C53" s="31" t="s">
        <v>212</v>
      </c>
      <c r="D53" s="51">
        <v>1</v>
      </c>
      <c r="E53" s="52">
        <v>79200</v>
      </c>
      <c r="F53" s="53">
        <f t="shared" si="1"/>
        <v>79200</v>
      </c>
      <c r="G53" s="31" t="s">
        <v>373</v>
      </c>
    </row>
    <row r="54" spans="1:7" ht="48" customHeight="1" x14ac:dyDescent="0.25">
      <c r="A54" s="36" t="s">
        <v>214</v>
      </c>
      <c r="B54" s="37" t="s">
        <v>215</v>
      </c>
      <c r="C54" s="36" t="s">
        <v>374</v>
      </c>
      <c r="D54" s="38">
        <v>1</v>
      </c>
      <c r="E54" s="39">
        <v>35000</v>
      </c>
      <c r="F54" s="40">
        <f t="shared" si="1"/>
        <v>35000</v>
      </c>
      <c r="G54" s="36" t="s">
        <v>375</v>
      </c>
    </row>
    <row r="55" spans="1:7" ht="48" customHeight="1" x14ac:dyDescent="0.25">
      <c r="A55" s="22" t="s">
        <v>218</v>
      </c>
      <c r="B55" s="41" t="s">
        <v>219</v>
      </c>
      <c r="C55" s="22" t="s">
        <v>220</v>
      </c>
      <c r="D55" s="42">
        <v>1</v>
      </c>
      <c r="E55" s="43">
        <v>75000</v>
      </c>
      <c r="F55" s="44">
        <f t="shared" si="1"/>
        <v>75000</v>
      </c>
      <c r="G55" s="22" t="s">
        <v>376</v>
      </c>
    </row>
    <row r="56" spans="1:7" ht="48" customHeight="1" x14ac:dyDescent="0.25">
      <c r="A56" s="22" t="s">
        <v>218</v>
      </c>
      <c r="B56" s="41" t="s">
        <v>222</v>
      </c>
      <c r="C56" s="22" t="s">
        <v>377</v>
      </c>
      <c r="D56" s="42">
        <v>4</v>
      </c>
      <c r="E56" s="43">
        <v>8500</v>
      </c>
      <c r="F56" s="44">
        <f t="shared" si="1"/>
        <v>34000</v>
      </c>
      <c r="G56" s="22" t="s">
        <v>378</v>
      </c>
    </row>
    <row r="57" spans="1:7" ht="48" customHeight="1" x14ac:dyDescent="0.25">
      <c r="A57" s="22" t="s">
        <v>218</v>
      </c>
      <c r="B57" s="41" t="s">
        <v>225</v>
      </c>
      <c r="C57" s="22" t="s">
        <v>379</v>
      </c>
      <c r="D57" s="42">
        <v>200</v>
      </c>
      <c r="E57" s="43">
        <v>85</v>
      </c>
      <c r="F57" s="44">
        <f t="shared" si="1"/>
        <v>17000</v>
      </c>
      <c r="G57" s="22" t="s">
        <v>380</v>
      </c>
    </row>
    <row r="58" spans="1:7" ht="19.5" customHeight="1" x14ac:dyDescent="0.25">
      <c r="A58" s="10" t="s">
        <v>381</v>
      </c>
      <c r="B58" s="10"/>
      <c r="C58" s="10"/>
      <c r="D58" s="10"/>
      <c r="E58" s="10"/>
      <c r="F58" s="10"/>
      <c r="G58" s="10"/>
    </row>
    <row r="59" spans="1:7" ht="48" customHeight="1" x14ac:dyDescent="0.25">
      <c r="A59" s="64" t="s">
        <v>229</v>
      </c>
      <c r="B59" s="65" t="s">
        <v>230</v>
      </c>
      <c r="C59" s="64" t="s">
        <v>382</v>
      </c>
      <c r="D59" s="66">
        <v>56</v>
      </c>
      <c r="E59" s="67">
        <v>5950</v>
      </c>
      <c r="F59" s="68">
        <f>D59*E59</f>
        <v>333200</v>
      </c>
      <c r="G59" s="64" t="s">
        <v>383</v>
      </c>
    </row>
    <row r="60" spans="1:7" ht="48" customHeight="1" x14ac:dyDescent="0.25">
      <c r="A60" s="64" t="s">
        <v>229</v>
      </c>
      <c r="B60" s="65" t="s">
        <v>384</v>
      </c>
      <c r="C60" s="64" t="s">
        <v>385</v>
      </c>
      <c r="D60" s="66">
        <v>56</v>
      </c>
      <c r="E60" s="67">
        <v>2995</v>
      </c>
      <c r="F60" s="68">
        <f>D60*E60</f>
        <v>167720</v>
      </c>
      <c r="G60" s="64" t="s">
        <v>386</v>
      </c>
    </row>
    <row r="61" spans="1:7" ht="48" customHeight="1" x14ac:dyDescent="0.25">
      <c r="A61" s="36" t="s">
        <v>229</v>
      </c>
      <c r="B61" s="37" t="s">
        <v>387</v>
      </c>
      <c r="C61" s="36" t="s">
        <v>237</v>
      </c>
      <c r="D61" s="38">
        <v>2</v>
      </c>
      <c r="E61" s="39">
        <v>8500</v>
      </c>
      <c r="F61" s="40">
        <f>D61*E61</f>
        <v>17000</v>
      </c>
      <c r="G61" s="36" t="s">
        <v>388</v>
      </c>
    </row>
    <row r="62" spans="1:7" ht="19.5" customHeight="1" x14ac:dyDescent="0.25">
      <c r="A62" s="10" t="s">
        <v>239</v>
      </c>
      <c r="B62" s="10"/>
      <c r="C62" s="10"/>
      <c r="D62" s="10"/>
      <c r="E62" s="10"/>
      <c r="F62" s="10"/>
      <c r="G62" s="10"/>
    </row>
    <row r="63" spans="1:7" ht="48" customHeight="1" x14ac:dyDescent="0.25">
      <c r="A63" s="36" t="s">
        <v>240</v>
      </c>
      <c r="B63" s="37" t="s">
        <v>241</v>
      </c>
      <c r="C63" s="36" t="s">
        <v>242</v>
      </c>
      <c r="D63" s="38">
        <v>1</v>
      </c>
      <c r="E63" s="39">
        <v>15000</v>
      </c>
      <c r="F63" s="40">
        <f>D63*E63</f>
        <v>15000</v>
      </c>
      <c r="G63" s="36" t="s">
        <v>389</v>
      </c>
    </row>
    <row r="64" spans="1:7" ht="48" customHeight="1" x14ac:dyDescent="0.25">
      <c r="A64" s="31" t="s">
        <v>240</v>
      </c>
      <c r="B64" s="50" t="s">
        <v>244</v>
      </c>
      <c r="C64" s="31" t="s">
        <v>390</v>
      </c>
      <c r="D64" s="51">
        <v>1</v>
      </c>
      <c r="E64" s="52">
        <v>18000</v>
      </c>
      <c r="F64" s="53">
        <f>D64*E64</f>
        <v>18000</v>
      </c>
      <c r="G64" s="31" t="s">
        <v>391</v>
      </c>
    </row>
    <row r="65" spans="1:7" ht="19.5" customHeight="1" x14ac:dyDescent="0.25">
      <c r="A65" s="10" t="s">
        <v>247</v>
      </c>
      <c r="B65" s="10"/>
      <c r="C65" s="10"/>
      <c r="D65" s="10"/>
      <c r="E65" s="10"/>
      <c r="F65" s="10"/>
      <c r="G65" s="10"/>
    </row>
    <row r="66" spans="1:7" ht="48" customHeight="1" x14ac:dyDescent="0.25">
      <c r="A66" s="36" t="s">
        <v>248</v>
      </c>
      <c r="B66" s="37" t="s">
        <v>249</v>
      </c>
      <c r="C66" s="36" t="s">
        <v>250</v>
      </c>
      <c r="D66" s="38">
        <v>8</v>
      </c>
      <c r="E66" s="39">
        <v>3000</v>
      </c>
      <c r="F66" s="40">
        <f>D66*E66</f>
        <v>24000</v>
      </c>
      <c r="G66" s="36" t="s">
        <v>392</v>
      </c>
    </row>
    <row r="67" spans="1:7" ht="19.5" customHeight="1" x14ac:dyDescent="0.25">
      <c r="A67" s="10" t="s">
        <v>252</v>
      </c>
      <c r="B67" s="10"/>
      <c r="C67" s="10"/>
      <c r="D67" s="10"/>
      <c r="E67" s="10"/>
      <c r="F67" s="10"/>
      <c r="G67" s="10"/>
    </row>
    <row r="68" spans="1:7" ht="48" customHeight="1" x14ac:dyDescent="0.25">
      <c r="A68" s="64" t="s">
        <v>253</v>
      </c>
      <c r="B68" s="65" t="s">
        <v>254</v>
      </c>
      <c r="C68" s="64" t="s">
        <v>255</v>
      </c>
      <c r="D68" s="66">
        <v>160</v>
      </c>
      <c r="E68" s="67">
        <v>95</v>
      </c>
      <c r="F68" s="68">
        <f t="shared" ref="F68:F74" si="2">D68*E68</f>
        <v>15200</v>
      </c>
      <c r="G68" s="64" t="s">
        <v>393</v>
      </c>
    </row>
    <row r="69" spans="1:7" ht="48" customHeight="1" x14ac:dyDescent="0.25">
      <c r="A69" s="36" t="s">
        <v>253</v>
      </c>
      <c r="B69" s="37" t="s">
        <v>257</v>
      </c>
      <c r="C69" s="36" t="s">
        <v>258</v>
      </c>
      <c r="D69" s="38">
        <v>200</v>
      </c>
      <c r="E69" s="39">
        <v>18</v>
      </c>
      <c r="F69" s="40">
        <f t="shared" si="2"/>
        <v>3600</v>
      </c>
      <c r="G69" s="36" t="s">
        <v>394</v>
      </c>
    </row>
    <row r="70" spans="1:7" ht="48" customHeight="1" x14ac:dyDescent="0.25">
      <c r="A70" s="64" t="s">
        <v>253</v>
      </c>
      <c r="B70" s="65" t="s">
        <v>260</v>
      </c>
      <c r="C70" s="64" t="s">
        <v>261</v>
      </c>
      <c r="D70" s="66">
        <v>8</v>
      </c>
      <c r="E70" s="67">
        <v>450</v>
      </c>
      <c r="F70" s="68">
        <f t="shared" si="2"/>
        <v>3600</v>
      </c>
      <c r="G70" s="64" t="s">
        <v>395</v>
      </c>
    </row>
    <row r="71" spans="1:7" ht="48" customHeight="1" x14ac:dyDescent="0.25">
      <c r="A71" s="31" t="s">
        <v>253</v>
      </c>
      <c r="B71" s="50" t="s">
        <v>263</v>
      </c>
      <c r="C71" s="31" t="s">
        <v>264</v>
      </c>
      <c r="D71" s="51">
        <v>64</v>
      </c>
      <c r="E71" s="52">
        <v>85</v>
      </c>
      <c r="F71" s="53">
        <f t="shared" si="2"/>
        <v>5440</v>
      </c>
      <c r="G71" s="31" t="s">
        <v>396</v>
      </c>
    </row>
    <row r="72" spans="1:7" ht="48" customHeight="1" x14ac:dyDescent="0.25">
      <c r="A72" s="64" t="s">
        <v>266</v>
      </c>
      <c r="B72" s="65" t="s">
        <v>267</v>
      </c>
      <c r="C72" s="64" t="s">
        <v>268</v>
      </c>
      <c r="D72" s="66">
        <v>200</v>
      </c>
      <c r="E72" s="67">
        <v>420</v>
      </c>
      <c r="F72" s="68">
        <f t="shared" si="2"/>
        <v>84000</v>
      </c>
      <c r="G72" s="64" t="s">
        <v>397</v>
      </c>
    </row>
    <row r="73" spans="1:7" ht="48" customHeight="1" x14ac:dyDescent="0.25">
      <c r="A73" s="64" t="s">
        <v>266</v>
      </c>
      <c r="B73" s="65" t="s">
        <v>270</v>
      </c>
      <c r="C73" s="64" t="s">
        <v>271</v>
      </c>
      <c r="D73" s="66">
        <v>120</v>
      </c>
      <c r="E73" s="67">
        <v>280</v>
      </c>
      <c r="F73" s="68">
        <f t="shared" si="2"/>
        <v>33600</v>
      </c>
      <c r="G73" s="64" t="s">
        <v>398</v>
      </c>
    </row>
    <row r="74" spans="1:7" ht="48" customHeight="1" x14ac:dyDescent="0.25">
      <c r="A74" s="31" t="s">
        <v>266</v>
      </c>
      <c r="B74" s="50" t="s">
        <v>273</v>
      </c>
      <c r="C74" s="31" t="s">
        <v>274</v>
      </c>
      <c r="D74" s="51">
        <v>80</v>
      </c>
      <c r="E74" s="52">
        <v>185</v>
      </c>
      <c r="F74" s="53">
        <f t="shared" si="2"/>
        <v>14800</v>
      </c>
      <c r="G74" s="31" t="s">
        <v>399</v>
      </c>
    </row>
    <row r="75" spans="1:7" ht="27.75" customHeight="1" x14ac:dyDescent="0.25">
      <c r="A75" s="8" t="s">
        <v>400</v>
      </c>
      <c r="B75" s="8"/>
      <c r="C75" s="8"/>
      <c r="D75" s="8"/>
      <c r="E75" s="8"/>
      <c r="F75" s="55">
        <f>SUM(F4:F74)</f>
        <v>4877160</v>
      </c>
      <c r="G75" s="69" t="s">
        <v>401</v>
      </c>
    </row>
    <row r="77" spans="1:7" ht="21.75" customHeight="1" x14ac:dyDescent="0.25">
      <c r="A77" s="7" t="s">
        <v>278</v>
      </c>
      <c r="B77" s="7"/>
      <c r="C77" s="70" t="s">
        <v>402</v>
      </c>
      <c r="D77" s="58" t="s">
        <v>403</v>
      </c>
      <c r="E77" s="59" t="s">
        <v>404</v>
      </c>
      <c r="F77" s="61" t="s">
        <v>405</v>
      </c>
      <c r="G77" s="60" t="s">
        <v>281</v>
      </c>
    </row>
  </sheetData>
  <mergeCells count="23">
    <mergeCell ref="A67:G67"/>
    <mergeCell ref="A75:E75"/>
    <mergeCell ref="A77:B77"/>
    <mergeCell ref="A49:G49"/>
    <mergeCell ref="A51:G51"/>
    <mergeCell ref="A58:G58"/>
    <mergeCell ref="A62:G62"/>
    <mergeCell ref="A65:G65"/>
    <mergeCell ref="A31:G31"/>
    <mergeCell ref="A34:G34"/>
    <mergeCell ref="A39:G39"/>
    <mergeCell ref="A41:G41"/>
    <mergeCell ref="A47:G47"/>
    <mergeCell ref="A17:G17"/>
    <mergeCell ref="A18:G18"/>
    <mergeCell ref="A19:G19"/>
    <mergeCell ref="A22:G22"/>
    <mergeCell ref="A26:G26"/>
    <mergeCell ref="A1:G1"/>
    <mergeCell ref="A2:G2"/>
    <mergeCell ref="A4:G4"/>
    <mergeCell ref="A12:G12"/>
    <mergeCell ref="A15:G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zoomScaleNormal="100" workbookViewId="0"/>
  </sheetViews>
  <sheetFormatPr defaultColWidth="8.7109375" defaultRowHeight="15" x14ac:dyDescent="0.25"/>
  <cols>
    <col min="1" max="1" width="30" customWidth="1"/>
    <col min="2" max="3" width="28" customWidth="1"/>
    <col min="4" max="4" width="16" customWidth="1"/>
    <col min="5" max="5" width="38" customWidth="1"/>
  </cols>
  <sheetData>
    <row r="1" spans="1:5" ht="27.75" customHeight="1" x14ac:dyDescent="0.25">
      <c r="A1" s="12" t="s">
        <v>406</v>
      </c>
      <c r="B1" s="12"/>
      <c r="C1" s="12"/>
      <c r="D1" s="12"/>
      <c r="E1" s="12"/>
    </row>
    <row r="2" spans="1:5" ht="19.5" customHeight="1" x14ac:dyDescent="0.25">
      <c r="A2" s="11" t="s">
        <v>407</v>
      </c>
      <c r="B2" s="11"/>
      <c r="C2" s="11"/>
      <c r="D2" s="11"/>
      <c r="E2" s="11"/>
    </row>
    <row r="3" spans="1:5" ht="24.75" customHeight="1" x14ac:dyDescent="0.25">
      <c r="A3" s="63" t="s">
        <v>284</v>
      </c>
      <c r="B3" s="63" t="s">
        <v>408</v>
      </c>
      <c r="C3" s="63" t="s">
        <v>409</v>
      </c>
      <c r="D3" s="63" t="s">
        <v>410</v>
      </c>
      <c r="E3" s="63" t="s">
        <v>5</v>
      </c>
    </row>
    <row r="4" spans="1:5" ht="49.5" customHeight="1" x14ac:dyDescent="0.25">
      <c r="A4" s="71" t="s">
        <v>411</v>
      </c>
      <c r="B4" s="64" t="s">
        <v>412</v>
      </c>
      <c r="C4" s="72" t="s">
        <v>413</v>
      </c>
      <c r="D4" s="73">
        <v>28000</v>
      </c>
      <c r="E4" s="64" t="s">
        <v>414</v>
      </c>
    </row>
    <row r="5" spans="1:5" ht="49.5" customHeight="1" x14ac:dyDescent="0.25">
      <c r="A5" s="74" t="s">
        <v>415</v>
      </c>
      <c r="B5" s="75" t="s">
        <v>416</v>
      </c>
      <c r="C5" s="76" t="s">
        <v>417</v>
      </c>
      <c r="D5" s="77">
        <v>176000</v>
      </c>
      <c r="E5" s="75" t="s">
        <v>418</v>
      </c>
    </row>
    <row r="6" spans="1:5" ht="49.5" customHeight="1" x14ac:dyDescent="0.25">
      <c r="A6" s="71" t="s">
        <v>419</v>
      </c>
      <c r="B6" s="64" t="s">
        <v>420</v>
      </c>
      <c r="C6" s="72" t="s">
        <v>421</v>
      </c>
      <c r="D6" s="73">
        <v>56000</v>
      </c>
      <c r="E6" s="64" t="s">
        <v>422</v>
      </c>
    </row>
    <row r="7" spans="1:5" ht="49.5" customHeight="1" x14ac:dyDescent="0.25">
      <c r="A7" s="74" t="s">
        <v>423</v>
      </c>
      <c r="B7" s="75" t="s">
        <v>424</v>
      </c>
      <c r="C7" s="76" t="s">
        <v>425</v>
      </c>
      <c r="D7" s="77">
        <v>48000</v>
      </c>
      <c r="E7" s="75" t="s">
        <v>426</v>
      </c>
    </row>
    <row r="8" spans="1:5" ht="49.5" customHeight="1" x14ac:dyDescent="0.25">
      <c r="A8" s="71" t="s">
        <v>427</v>
      </c>
      <c r="B8" s="64" t="s">
        <v>428</v>
      </c>
      <c r="C8" s="72" t="s">
        <v>429</v>
      </c>
      <c r="D8" s="73">
        <v>114000</v>
      </c>
      <c r="E8" s="64" t="s">
        <v>430</v>
      </c>
    </row>
    <row r="9" spans="1:5" ht="49.5" customHeight="1" x14ac:dyDescent="0.25">
      <c r="A9" s="74" t="s">
        <v>431</v>
      </c>
      <c r="B9" s="75" t="s">
        <v>432</v>
      </c>
      <c r="C9" s="76" t="s">
        <v>433</v>
      </c>
      <c r="D9" s="77">
        <v>168000</v>
      </c>
      <c r="E9" s="75" t="s">
        <v>434</v>
      </c>
    </row>
    <row r="10" spans="1:5" ht="49.5" customHeight="1" x14ac:dyDescent="0.25">
      <c r="A10" s="71" t="s">
        <v>435</v>
      </c>
      <c r="B10" s="64" t="s">
        <v>436</v>
      </c>
      <c r="C10" s="72" t="s">
        <v>437</v>
      </c>
      <c r="D10" s="73">
        <v>24000</v>
      </c>
      <c r="E10" s="64" t="s">
        <v>438</v>
      </c>
    </row>
    <row r="11" spans="1:5" ht="49.5" customHeight="1" x14ac:dyDescent="0.25">
      <c r="A11" s="74" t="s">
        <v>439</v>
      </c>
      <c r="B11" s="75" t="s">
        <v>440</v>
      </c>
      <c r="C11" s="76" t="s">
        <v>441</v>
      </c>
      <c r="D11" s="77">
        <v>62000</v>
      </c>
      <c r="E11" s="75" t="s">
        <v>442</v>
      </c>
    </row>
    <row r="12" spans="1:5" ht="49.5" customHeight="1" x14ac:dyDescent="0.25">
      <c r="A12" s="71" t="s">
        <v>443</v>
      </c>
      <c r="B12" s="64" t="s">
        <v>444</v>
      </c>
      <c r="C12" s="72" t="s">
        <v>445</v>
      </c>
      <c r="D12" s="73">
        <v>24000</v>
      </c>
      <c r="E12" s="64" t="s">
        <v>446</v>
      </c>
    </row>
    <row r="13" spans="1:5" ht="49.5" customHeight="1" x14ac:dyDescent="0.25">
      <c r="A13" s="74" t="s">
        <v>447</v>
      </c>
      <c r="B13" s="75" t="s">
        <v>448</v>
      </c>
      <c r="C13" s="76" t="s">
        <v>449</v>
      </c>
      <c r="D13" s="77">
        <v>152000</v>
      </c>
      <c r="E13" s="75" t="s">
        <v>450</v>
      </c>
    </row>
    <row r="14" spans="1:5" ht="49.5" customHeight="1" x14ac:dyDescent="0.25">
      <c r="A14" s="71" t="s">
        <v>451</v>
      </c>
      <c r="B14" s="64" t="s">
        <v>452</v>
      </c>
      <c r="C14" s="72" t="s">
        <v>453</v>
      </c>
      <c r="D14" s="73">
        <v>47650</v>
      </c>
      <c r="E14" s="64" t="s">
        <v>454</v>
      </c>
    </row>
    <row r="15" spans="1:5" ht="27.75" customHeight="1" x14ac:dyDescent="0.25">
      <c r="A15" s="8" t="s">
        <v>455</v>
      </c>
      <c r="B15" s="8"/>
      <c r="C15" s="8"/>
      <c r="D15" s="78">
        <v>899650</v>
      </c>
      <c r="E15" s="79" t="s">
        <v>456</v>
      </c>
    </row>
  </sheetData>
  <mergeCells count="3">
    <mergeCell ref="A1:E1"/>
    <mergeCell ref="A2:E2"/>
    <mergeCell ref="A15:C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0"/>
  <sheetViews>
    <sheetView zoomScaleNormal="100" workbookViewId="0"/>
  </sheetViews>
  <sheetFormatPr defaultColWidth="8.7109375" defaultRowHeight="15" x14ac:dyDescent="0.25"/>
  <cols>
    <col min="1" max="1" width="24" customWidth="1"/>
    <col min="2" max="2" width="38" customWidth="1"/>
    <col min="3" max="3" width="36" customWidth="1"/>
    <col min="4" max="4" width="9" customWidth="1"/>
    <col min="5" max="5" width="14" customWidth="1"/>
    <col min="6" max="6" width="16" customWidth="1"/>
    <col min="7" max="7" width="44" customWidth="1"/>
  </cols>
  <sheetData>
    <row r="1" spans="1:7" ht="27.75" customHeight="1" x14ac:dyDescent="0.25">
      <c r="A1" s="12" t="s">
        <v>457</v>
      </c>
      <c r="B1" s="12"/>
      <c r="C1" s="12"/>
      <c r="D1" s="12"/>
      <c r="E1" s="12"/>
      <c r="F1" s="12"/>
      <c r="G1" s="12"/>
    </row>
    <row r="2" spans="1:7" ht="19.5" customHeight="1" x14ac:dyDescent="0.25">
      <c r="A2" s="11" t="s">
        <v>458</v>
      </c>
      <c r="B2" s="11"/>
      <c r="C2" s="11"/>
      <c r="D2" s="11"/>
      <c r="E2" s="11"/>
      <c r="F2" s="11"/>
      <c r="G2" s="11"/>
    </row>
    <row r="3" spans="1:7" ht="30" customHeight="1" x14ac:dyDescent="0.25">
      <c r="A3" s="80" t="s">
        <v>60</v>
      </c>
      <c r="B3" s="80" t="s">
        <v>61</v>
      </c>
      <c r="C3" s="80" t="s">
        <v>62</v>
      </c>
      <c r="D3" s="80" t="s">
        <v>63</v>
      </c>
      <c r="E3" s="80" t="s">
        <v>64</v>
      </c>
      <c r="F3" s="80" t="s">
        <v>65</v>
      </c>
      <c r="G3" s="80" t="s">
        <v>66</v>
      </c>
    </row>
    <row r="4" spans="1:7" ht="19.5" customHeight="1" x14ac:dyDescent="0.25">
      <c r="A4" s="6" t="s">
        <v>67</v>
      </c>
      <c r="B4" s="6"/>
      <c r="C4" s="6"/>
      <c r="D4" s="6"/>
      <c r="E4" s="6"/>
      <c r="F4" s="6"/>
      <c r="G4" s="6"/>
    </row>
    <row r="5" spans="1:7" ht="48" customHeight="1" x14ac:dyDescent="0.25">
      <c r="A5" s="81" t="s">
        <v>68</v>
      </c>
      <c r="B5" s="82" t="s">
        <v>69</v>
      </c>
      <c r="C5" s="81" t="s">
        <v>70</v>
      </c>
      <c r="D5" s="83">
        <v>1</v>
      </c>
      <c r="E5" s="84">
        <v>95000</v>
      </c>
      <c r="F5" s="85">
        <f t="shared" ref="F5:F10" si="0">D5*E5</f>
        <v>95000</v>
      </c>
      <c r="G5" s="81" t="s">
        <v>459</v>
      </c>
    </row>
    <row r="6" spans="1:7" ht="48" customHeight="1" x14ac:dyDescent="0.25">
      <c r="A6" s="86" t="s">
        <v>68</v>
      </c>
      <c r="B6" s="87" t="s">
        <v>72</v>
      </c>
      <c r="C6" s="86" t="s">
        <v>73</v>
      </c>
      <c r="D6" s="88">
        <v>2</v>
      </c>
      <c r="E6" s="89">
        <v>65000</v>
      </c>
      <c r="F6" s="90">
        <f t="shared" si="0"/>
        <v>130000</v>
      </c>
      <c r="G6" s="86" t="s">
        <v>460</v>
      </c>
    </row>
    <row r="7" spans="1:7" ht="48" customHeight="1" x14ac:dyDescent="0.25">
      <c r="A7" s="81" t="s">
        <v>68</v>
      </c>
      <c r="B7" s="82" t="s">
        <v>75</v>
      </c>
      <c r="C7" s="81" t="s">
        <v>76</v>
      </c>
      <c r="D7" s="83">
        <v>3</v>
      </c>
      <c r="E7" s="84">
        <v>22000</v>
      </c>
      <c r="F7" s="85">
        <f t="shared" si="0"/>
        <v>66000</v>
      </c>
      <c r="G7" s="81" t="s">
        <v>461</v>
      </c>
    </row>
    <row r="8" spans="1:7" ht="48" customHeight="1" x14ac:dyDescent="0.25">
      <c r="A8" s="81" t="s">
        <v>68</v>
      </c>
      <c r="B8" s="82" t="s">
        <v>78</v>
      </c>
      <c r="C8" s="81" t="s">
        <v>79</v>
      </c>
      <c r="D8" s="83">
        <v>3</v>
      </c>
      <c r="E8" s="84">
        <v>6500</v>
      </c>
      <c r="F8" s="85">
        <f t="shared" si="0"/>
        <v>19500</v>
      </c>
      <c r="G8" s="81" t="s">
        <v>462</v>
      </c>
    </row>
    <row r="9" spans="1:7" ht="48" customHeight="1" x14ac:dyDescent="0.25">
      <c r="A9" s="81" t="s">
        <v>68</v>
      </c>
      <c r="B9" s="82" t="s">
        <v>81</v>
      </c>
      <c r="C9" s="81" t="s">
        <v>82</v>
      </c>
      <c r="D9" s="83">
        <v>2</v>
      </c>
      <c r="E9" s="84">
        <v>8000</v>
      </c>
      <c r="F9" s="85">
        <f t="shared" si="0"/>
        <v>16000</v>
      </c>
      <c r="G9" s="81" t="s">
        <v>463</v>
      </c>
    </row>
    <row r="10" spans="1:7" ht="48" customHeight="1" x14ac:dyDescent="0.25">
      <c r="A10" s="81" t="s">
        <v>68</v>
      </c>
      <c r="B10" s="82" t="s">
        <v>464</v>
      </c>
      <c r="C10" s="81" t="s">
        <v>465</v>
      </c>
      <c r="D10" s="83">
        <v>1</v>
      </c>
      <c r="E10" s="84">
        <v>45000</v>
      </c>
      <c r="F10" s="85">
        <f t="shared" si="0"/>
        <v>45000</v>
      </c>
      <c r="G10" s="81" t="s">
        <v>466</v>
      </c>
    </row>
    <row r="11" spans="1:7" ht="48" customHeight="1" x14ac:dyDescent="0.25">
      <c r="A11" s="91" t="s">
        <v>68</v>
      </c>
      <c r="B11" s="92" t="s">
        <v>87</v>
      </c>
      <c r="C11" s="91" t="s">
        <v>88</v>
      </c>
      <c r="D11" s="93">
        <v>0</v>
      </c>
      <c r="E11" s="94">
        <v>0</v>
      </c>
      <c r="F11" s="95">
        <v>0</v>
      </c>
      <c r="G11" s="91" t="s">
        <v>323</v>
      </c>
    </row>
    <row r="12" spans="1:7" ht="19.5" customHeight="1" x14ac:dyDescent="0.25">
      <c r="A12" s="6" t="s">
        <v>90</v>
      </c>
      <c r="B12" s="6"/>
      <c r="C12" s="6"/>
      <c r="D12" s="6"/>
      <c r="E12" s="6"/>
      <c r="F12" s="6"/>
      <c r="G12" s="6"/>
    </row>
    <row r="13" spans="1:7" ht="48" customHeight="1" x14ac:dyDescent="0.25">
      <c r="A13" s="81" t="s">
        <v>91</v>
      </c>
      <c r="B13" s="82" t="s">
        <v>92</v>
      </c>
      <c r="C13" s="81" t="s">
        <v>467</v>
      </c>
      <c r="D13" s="83">
        <v>8</v>
      </c>
      <c r="E13" s="84">
        <v>35000</v>
      </c>
      <c r="F13" s="85">
        <f>D13*E13</f>
        <v>280000</v>
      </c>
      <c r="G13" s="81" t="s">
        <v>468</v>
      </c>
    </row>
    <row r="14" spans="1:7" ht="48" customHeight="1" x14ac:dyDescent="0.25">
      <c r="A14" s="91" t="s">
        <v>91</v>
      </c>
      <c r="B14" s="92" t="s">
        <v>325</v>
      </c>
      <c r="C14" s="91" t="s">
        <v>96</v>
      </c>
      <c r="D14" s="93">
        <v>0</v>
      </c>
      <c r="E14" s="94">
        <v>0</v>
      </c>
      <c r="F14" s="95">
        <v>0</v>
      </c>
      <c r="G14" s="91" t="s">
        <v>469</v>
      </c>
    </row>
    <row r="15" spans="1:7" ht="19.5" customHeight="1" x14ac:dyDescent="0.25">
      <c r="A15" s="6" t="s">
        <v>98</v>
      </c>
      <c r="B15" s="6"/>
      <c r="C15" s="6"/>
      <c r="D15" s="6"/>
      <c r="E15" s="6"/>
      <c r="F15" s="6"/>
      <c r="G15" s="6"/>
    </row>
    <row r="16" spans="1:7" ht="48" customHeight="1" x14ac:dyDescent="0.25">
      <c r="A16" s="86" t="s">
        <v>99</v>
      </c>
      <c r="B16" s="87" t="s">
        <v>100</v>
      </c>
      <c r="C16" s="86" t="s">
        <v>101</v>
      </c>
      <c r="D16" s="88">
        <v>6</v>
      </c>
      <c r="E16" s="89">
        <v>24000</v>
      </c>
      <c r="F16" s="90">
        <f>D16*E16</f>
        <v>144000</v>
      </c>
      <c r="G16" s="86" t="s">
        <v>470</v>
      </c>
    </row>
    <row r="17" spans="1:7" ht="19.5" customHeight="1" x14ac:dyDescent="0.25">
      <c r="A17" s="6" t="s">
        <v>103</v>
      </c>
      <c r="B17" s="6"/>
      <c r="C17" s="6"/>
      <c r="D17" s="6"/>
      <c r="E17" s="6"/>
      <c r="F17" s="6"/>
      <c r="G17" s="6"/>
    </row>
    <row r="18" spans="1:7" ht="24" customHeight="1" x14ac:dyDescent="0.25">
      <c r="A18" s="5" t="s">
        <v>471</v>
      </c>
      <c r="B18" s="5"/>
      <c r="C18" s="5"/>
      <c r="D18" s="5"/>
      <c r="E18" s="5"/>
      <c r="F18" s="5"/>
      <c r="G18" s="5"/>
    </row>
    <row r="19" spans="1:7" ht="19.5" customHeight="1" x14ac:dyDescent="0.25">
      <c r="A19" s="6" t="s">
        <v>105</v>
      </c>
      <c r="B19" s="6"/>
      <c r="C19" s="6"/>
      <c r="D19" s="6"/>
      <c r="E19" s="6"/>
      <c r="F19" s="6"/>
      <c r="G19" s="6"/>
    </row>
    <row r="20" spans="1:7" ht="48" customHeight="1" x14ac:dyDescent="0.25">
      <c r="A20" s="96" t="s">
        <v>106</v>
      </c>
      <c r="B20" s="97" t="s">
        <v>107</v>
      </c>
      <c r="C20" s="96" t="s">
        <v>108</v>
      </c>
      <c r="D20" s="98">
        <v>2</v>
      </c>
      <c r="E20" s="99">
        <v>22000</v>
      </c>
      <c r="F20" s="100">
        <f>D20*E20</f>
        <v>44000</v>
      </c>
      <c r="G20" s="96" t="s">
        <v>472</v>
      </c>
    </row>
    <row r="21" spans="1:7" ht="48" customHeight="1" x14ac:dyDescent="0.25">
      <c r="A21" s="96" t="s">
        <v>106</v>
      </c>
      <c r="B21" s="97" t="s">
        <v>110</v>
      </c>
      <c r="C21" s="96" t="s">
        <v>473</v>
      </c>
      <c r="D21" s="98">
        <v>2</v>
      </c>
      <c r="E21" s="99">
        <v>35000</v>
      </c>
      <c r="F21" s="100">
        <f>D21*E21</f>
        <v>70000</v>
      </c>
      <c r="G21" s="96" t="s">
        <v>474</v>
      </c>
    </row>
    <row r="22" spans="1:7" ht="19.5" customHeight="1" x14ac:dyDescent="0.25">
      <c r="A22" s="6" t="s">
        <v>475</v>
      </c>
      <c r="B22" s="6"/>
      <c r="C22" s="6"/>
      <c r="D22" s="6"/>
      <c r="E22" s="6"/>
      <c r="F22" s="6"/>
      <c r="G22" s="6"/>
    </row>
    <row r="23" spans="1:7" ht="48" customHeight="1" x14ac:dyDescent="0.25">
      <c r="A23" s="81" t="s">
        <v>125</v>
      </c>
      <c r="B23" s="82" t="s">
        <v>476</v>
      </c>
      <c r="C23" s="81" t="s">
        <v>477</v>
      </c>
      <c r="D23" s="83">
        <v>2</v>
      </c>
      <c r="E23" s="84">
        <v>185000</v>
      </c>
      <c r="F23" s="85">
        <f>D23*E23</f>
        <v>370000</v>
      </c>
      <c r="G23" s="81" t="s">
        <v>478</v>
      </c>
    </row>
    <row r="24" spans="1:7" ht="48" customHeight="1" x14ac:dyDescent="0.25">
      <c r="A24" s="91" t="s">
        <v>125</v>
      </c>
      <c r="B24" s="92" t="s">
        <v>479</v>
      </c>
      <c r="C24" s="91" t="s">
        <v>480</v>
      </c>
      <c r="D24" s="93">
        <v>0</v>
      </c>
      <c r="E24" s="94">
        <v>0</v>
      </c>
      <c r="F24" s="95">
        <v>0</v>
      </c>
      <c r="G24" s="91" t="s">
        <v>481</v>
      </c>
    </row>
    <row r="25" spans="1:7" ht="19.5" customHeight="1" x14ac:dyDescent="0.25">
      <c r="A25" s="6" t="s">
        <v>343</v>
      </c>
      <c r="B25" s="6"/>
      <c r="C25" s="6"/>
      <c r="D25" s="6"/>
      <c r="E25" s="6"/>
      <c r="F25" s="6"/>
      <c r="G25" s="6"/>
    </row>
    <row r="26" spans="1:7" ht="48" customHeight="1" x14ac:dyDescent="0.25">
      <c r="A26" s="96" t="s">
        <v>139</v>
      </c>
      <c r="B26" s="97" t="s">
        <v>140</v>
      </c>
      <c r="C26" s="96" t="s">
        <v>344</v>
      </c>
      <c r="D26" s="98">
        <v>2</v>
      </c>
      <c r="E26" s="99">
        <v>185000</v>
      </c>
      <c r="F26" s="100">
        <f>D26*E26</f>
        <v>370000</v>
      </c>
      <c r="G26" s="96" t="s">
        <v>482</v>
      </c>
    </row>
    <row r="27" spans="1:7" ht="48" customHeight="1" x14ac:dyDescent="0.25">
      <c r="A27" s="81" t="s">
        <v>139</v>
      </c>
      <c r="B27" s="82" t="s">
        <v>483</v>
      </c>
      <c r="C27" s="81" t="s">
        <v>484</v>
      </c>
      <c r="D27" s="83">
        <v>2</v>
      </c>
      <c r="E27" s="84">
        <v>20000</v>
      </c>
      <c r="F27" s="85">
        <f>D27*E27</f>
        <v>40000</v>
      </c>
      <c r="G27" s="81" t="s">
        <v>485</v>
      </c>
    </row>
    <row r="28" spans="1:7" ht="48" customHeight="1" x14ac:dyDescent="0.25">
      <c r="A28" s="96" t="s">
        <v>139</v>
      </c>
      <c r="B28" s="97" t="s">
        <v>346</v>
      </c>
      <c r="C28" s="96" t="s">
        <v>144</v>
      </c>
      <c r="D28" s="98">
        <v>2</v>
      </c>
      <c r="E28" s="99">
        <v>28000</v>
      </c>
      <c r="F28" s="100">
        <f>D28*E28</f>
        <v>56000</v>
      </c>
      <c r="G28" s="96" t="s">
        <v>486</v>
      </c>
    </row>
    <row r="29" spans="1:7" ht="19.5" customHeight="1" x14ac:dyDescent="0.25">
      <c r="A29" s="6" t="s">
        <v>146</v>
      </c>
      <c r="B29" s="6"/>
      <c r="C29" s="6"/>
      <c r="D29" s="6"/>
      <c r="E29" s="6"/>
      <c r="F29" s="6"/>
      <c r="G29" s="6"/>
    </row>
    <row r="30" spans="1:7" ht="48" customHeight="1" x14ac:dyDescent="0.25">
      <c r="A30" s="86" t="s">
        <v>147</v>
      </c>
      <c r="B30" s="87" t="s">
        <v>148</v>
      </c>
      <c r="C30" s="86" t="s">
        <v>149</v>
      </c>
      <c r="D30" s="88">
        <v>2</v>
      </c>
      <c r="E30" s="89">
        <v>42000</v>
      </c>
      <c r="F30" s="90">
        <f>D30*E30</f>
        <v>84000</v>
      </c>
      <c r="G30" s="86" t="s">
        <v>487</v>
      </c>
    </row>
    <row r="31" spans="1:7" ht="48" customHeight="1" x14ac:dyDescent="0.25">
      <c r="A31" s="86" t="s">
        <v>147</v>
      </c>
      <c r="B31" s="87" t="s">
        <v>151</v>
      </c>
      <c r="C31" s="86" t="s">
        <v>152</v>
      </c>
      <c r="D31" s="88">
        <v>4</v>
      </c>
      <c r="E31" s="89">
        <v>28000</v>
      </c>
      <c r="F31" s="90">
        <f>D31*E31</f>
        <v>112000</v>
      </c>
      <c r="G31" s="86" t="s">
        <v>488</v>
      </c>
    </row>
    <row r="32" spans="1:7" ht="48" customHeight="1" x14ac:dyDescent="0.25">
      <c r="A32" s="86" t="s">
        <v>147</v>
      </c>
      <c r="B32" s="87" t="s">
        <v>154</v>
      </c>
      <c r="C32" s="86" t="s">
        <v>155</v>
      </c>
      <c r="D32" s="88">
        <v>2</v>
      </c>
      <c r="E32" s="89">
        <v>35000</v>
      </c>
      <c r="F32" s="90">
        <f>D32*E32</f>
        <v>70000</v>
      </c>
      <c r="G32" s="86" t="s">
        <v>489</v>
      </c>
    </row>
    <row r="33" spans="1:7" ht="19.5" customHeight="1" x14ac:dyDescent="0.25">
      <c r="A33" s="6" t="s">
        <v>351</v>
      </c>
      <c r="B33" s="6"/>
      <c r="C33" s="6"/>
      <c r="D33" s="6"/>
      <c r="E33" s="6"/>
      <c r="F33" s="6"/>
      <c r="G33" s="6"/>
    </row>
    <row r="34" spans="1:7" ht="48" customHeight="1" x14ac:dyDescent="0.25">
      <c r="A34" s="96" t="s">
        <v>161</v>
      </c>
      <c r="B34" s="97" t="s">
        <v>162</v>
      </c>
      <c r="C34" s="96" t="s">
        <v>163</v>
      </c>
      <c r="D34" s="98">
        <v>1</v>
      </c>
      <c r="E34" s="99">
        <v>95000</v>
      </c>
      <c r="F34" s="100">
        <f>D34*E34</f>
        <v>95000</v>
      </c>
      <c r="G34" s="96" t="s">
        <v>352</v>
      </c>
    </row>
    <row r="35" spans="1:7" ht="19.5" customHeight="1" x14ac:dyDescent="0.25">
      <c r="A35" s="6" t="s">
        <v>490</v>
      </c>
      <c r="B35" s="6"/>
      <c r="C35" s="6"/>
      <c r="D35" s="6"/>
      <c r="E35" s="6"/>
      <c r="F35" s="6"/>
      <c r="G35" s="6"/>
    </row>
    <row r="36" spans="1:7" ht="48" customHeight="1" x14ac:dyDescent="0.25">
      <c r="A36" s="101" t="s">
        <v>354</v>
      </c>
      <c r="B36" s="102" t="s">
        <v>355</v>
      </c>
      <c r="C36" s="101" t="s">
        <v>491</v>
      </c>
      <c r="D36" s="103">
        <v>2</v>
      </c>
      <c r="E36" s="104">
        <v>38000</v>
      </c>
      <c r="F36" s="105">
        <f>D36*E36</f>
        <v>76000</v>
      </c>
      <c r="G36" s="101" t="s">
        <v>492</v>
      </c>
    </row>
    <row r="37" spans="1:7" ht="48" customHeight="1" x14ac:dyDescent="0.25">
      <c r="A37" s="101" t="s">
        <v>177</v>
      </c>
      <c r="B37" s="102" t="s">
        <v>358</v>
      </c>
      <c r="C37" s="101" t="s">
        <v>359</v>
      </c>
      <c r="D37" s="103">
        <v>8</v>
      </c>
      <c r="E37" s="104">
        <v>28000</v>
      </c>
      <c r="F37" s="105">
        <f>D37*E37</f>
        <v>224000</v>
      </c>
      <c r="G37" s="101" t="s">
        <v>493</v>
      </c>
    </row>
    <row r="38" spans="1:7" ht="48" customHeight="1" x14ac:dyDescent="0.25">
      <c r="A38" s="101" t="s">
        <v>181</v>
      </c>
      <c r="B38" s="102" t="s">
        <v>182</v>
      </c>
      <c r="C38" s="101" t="s">
        <v>183</v>
      </c>
      <c r="D38" s="103">
        <v>2</v>
      </c>
      <c r="E38" s="104">
        <v>12000</v>
      </c>
      <c r="F38" s="105">
        <f>D38*E38</f>
        <v>24000</v>
      </c>
      <c r="G38" s="101" t="s">
        <v>494</v>
      </c>
    </row>
    <row r="39" spans="1:7" ht="48" customHeight="1" x14ac:dyDescent="0.25">
      <c r="A39" s="101" t="s">
        <v>185</v>
      </c>
      <c r="B39" s="102" t="s">
        <v>362</v>
      </c>
      <c r="C39" s="101" t="s">
        <v>495</v>
      </c>
      <c r="D39" s="103">
        <v>2</v>
      </c>
      <c r="E39" s="104">
        <v>28000</v>
      </c>
      <c r="F39" s="105">
        <f>D39*E39</f>
        <v>56000</v>
      </c>
      <c r="G39" s="101" t="s">
        <v>496</v>
      </c>
    </row>
    <row r="40" spans="1:7" ht="48" customHeight="1" x14ac:dyDescent="0.25">
      <c r="A40" s="96" t="s">
        <v>192</v>
      </c>
      <c r="B40" s="97" t="s">
        <v>193</v>
      </c>
      <c r="C40" s="96" t="s">
        <v>194</v>
      </c>
      <c r="D40" s="98">
        <v>8</v>
      </c>
      <c r="E40" s="99">
        <v>2800</v>
      </c>
      <c r="F40" s="100">
        <f>D40*E40</f>
        <v>22400</v>
      </c>
      <c r="G40" s="96" t="s">
        <v>365</v>
      </c>
    </row>
    <row r="41" spans="1:7" ht="19.5" customHeight="1" x14ac:dyDescent="0.25">
      <c r="A41" s="6" t="s">
        <v>196</v>
      </c>
      <c r="B41" s="6"/>
      <c r="C41" s="6"/>
      <c r="D41" s="6"/>
      <c r="E41" s="6"/>
      <c r="F41" s="6"/>
      <c r="G41" s="6"/>
    </row>
    <row r="42" spans="1:7" ht="48" customHeight="1" x14ac:dyDescent="0.25">
      <c r="A42" s="86" t="s">
        <v>197</v>
      </c>
      <c r="B42" s="87" t="s">
        <v>198</v>
      </c>
      <c r="C42" s="86" t="s">
        <v>199</v>
      </c>
      <c r="D42" s="88">
        <v>4</v>
      </c>
      <c r="E42" s="89">
        <v>45000</v>
      </c>
      <c r="F42" s="90">
        <f>D42*E42</f>
        <v>180000</v>
      </c>
      <c r="G42" s="86" t="s">
        <v>366</v>
      </c>
    </row>
    <row r="43" spans="1:7" ht="19.5" customHeight="1" x14ac:dyDescent="0.25">
      <c r="A43" s="6" t="s">
        <v>201</v>
      </c>
      <c r="B43" s="6"/>
      <c r="C43" s="6"/>
      <c r="D43" s="6"/>
      <c r="E43" s="6"/>
      <c r="F43" s="6"/>
      <c r="G43" s="6"/>
    </row>
    <row r="44" spans="1:7" ht="48" customHeight="1" x14ac:dyDescent="0.25">
      <c r="A44" s="101" t="s">
        <v>202</v>
      </c>
      <c r="B44" s="102" t="s">
        <v>368</v>
      </c>
      <c r="C44" s="101" t="s">
        <v>497</v>
      </c>
      <c r="D44" s="103">
        <v>2</v>
      </c>
      <c r="E44" s="104">
        <v>28000</v>
      </c>
      <c r="F44" s="105">
        <f>D44*E44</f>
        <v>56000</v>
      </c>
      <c r="G44" s="101" t="s">
        <v>498</v>
      </c>
    </row>
    <row r="45" spans="1:7" ht="19.5" customHeight="1" x14ac:dyDescent="0.25">
      <c r="A45" s="6" t="s">
        <v>206</v>
      </c>
      <c r="B45" s="6"/>
      <c r="C45" s="6"/>
      <c r="D45" s="6"/>
      <c r="E45" s="6"/>
      <c r="F45" s="6"/>
      <c r="G45" s="6"/>
    </row>
    <row r="46" spans="1:7" ht="48" customHeight="1" x14ac:dyDescent="0.25">
      <c r="A46" s="96" t="s">
        <v>207</v>
      </c>
      <c r="B46" s="97" t="s">
        <v>208</v>
      </c>
      <c r="C46" s="96" t="s">
        <v>371</v>
      </c>
      <c r="D46" s="98">
        <v>1</v>
      </c>
      <c r="E46" s="99">
        <v>120000</v>
      </c>
      <c r="F46" s="100">
        <f t="shared" ref="F46:F51" si="1">D46*E46</f>
        <v>120000</v>
      </c>
      <c r="G46" s="96" t="s">
        <v>372</v>
      </c>
    </row>
    <row r="47" spans="1:7" ht="48" customHeight="1" x14ac:dyDescent="0.25">
      <c r="A47" s="96" t="s">
        <v>207</v>
      </c>
      <c r="B47" s="97" t="s">
        <v>211</v>
      </c>
      <c r="C47" s="96" t="s">
        <v>212</v>
      </c>
      <c r="D47" s="98">
        <v>1</v>
      </c>
      <c r="E47" s="99">
        <v>79200</v>
      </c>
      <c r="F47" s="100">
        <f t="shared" si="1"/>
        <v>79200</v>
      </c>
      <c r="G47" s="96" t="s">
        <v>499</v>
      </c>
    </row>
    <row r="48" spans="1:7" ht="48" customHeight="1" x14ac:dyDescent="0.25">
      <c r="A48" s="81" t="s">
        <v>214</v>
      </c>
      <c r="B48" s="82" t="s">
        <v>500</v>
      </c>
      <c r="C48" s="81" t="s">
        <v>501</v>
      </c>
      <c r="D48" s="83">
        <v>1</v>
      </c>
      <c r="E48" s="84">
        <v>35000</v>
      </c>
      <c r="F48" s="85">
        <f t="shared" si="1"/>
        <v>35000</v>
      </c>
      <c r="G48" s="81" t="s">
        <v>502</v>
      </c>
    </row>
    <row r="49" spans="1:7" ht="48" customHeight="1" x14ac:dyDescent="0.25">
      <c r="A49" s="81" t="s">
        <v>218</v>
      </c>
      <c r="B49" s="82" t="s">
        <v>219</v>
      </c>
      <c r="C49" s="81" t="s">
        <v>220</v>
      </c>
      <c r="D49" s="83">
        <v>1</v>
      </c>
      <c r="E49" s="84">
        <v>75000</v>
      </c>
      <c r="F49" s="85">
        <f t="shared" si="1"/>
        <v>75000</v>
      </c>
      <c r="G49" s="81" t="s">
        <v>503</v>
      </c>
    </row>
    <row r="50" spans="1:7" ht="48" customHeight="1" x14ac:dyDescent="0.25">
      <c r="A50" s="81" t="s">
        <v>218</v>
      </c>
      <c r="B50" s="82" t="s">
        <v>222</v>
      </c>
      <c r="C50" s="81" t="s">
        <v>504</v>
      </c>
      <c r="D50" s="83">
        <v>4</v>
      </c>
      <c r="E50" s="84">
        <v>8500</v>
      </c>
      <c r="F50" s="85">
        <f t="shared" si="1"/>
        <v>34000</v>
      </c>
      <c r="G50" s="81" t="s">
        <v>505</v>
      </c>
    </row>
    <row r="51" spans="1:7" ht="48" customHeight="1" x14ac:dyDescent="0.25">
      <c r="A51" s="81" t="s">
        <v>218</v>
      </c>
      <c r="B51" s="82" t="s">
        <v>225</v>
      </c>
      <c r="C51" s="81" t="s">
        <v>506</v>
      </c>
      <c r="D51" s="83">
        <v>200</v>
      </c>
      <c r="E51" s="84">
        <v>85</v>
      </c>
      <c r="F51" s="85">
        <f t="shared" si="1"/>
        <v>17000</v>
      </c>
      <c r="G51" s="81" t="s">
        <v>380</v>
      </c>
    </row>
    <row r="52" spans="1:7" ht="19.5" customHeight="1" x14ac:dyDescent="0.25">
      <c r="A52" s="6" t="s">
        <v>228</v>
      </c>
      <c r="B52" s="6"/>
      <c r="C52" s="6"/>
      <c r="D52" s="6"/>
      <c r="E52" s="6"/>
      <c r="F52" s="6"/>
      <c r="G52" s="6"/>
    </row>
    <row r="53" spans="1:7" ht="48" customHeight="1" x14ac:dyDescent="0.25">
      <c r="A53" s="81" t="s">
        <v>229</v>
      </c>
      <c r="B53" s="82" t="s">
        <v>230</v>
      </c>
      <c r="C53" s="81" t="s">
        <v>507</v>
      </c>
      <c r="D53" s="83">
        <v>40</v>
      </c>
      <c r="E53" s="84">
        <v>5950</v>
      </c>
      <c r="F53" s="85">
        <f>D53*E53</f>
        <v>238000</v>
      </c>
      <c r="G53" s="81" t="s">
        <v>508</v>
      </c>
    </row>
    <row r="54" spans="1:7" ht="48" customHeight="1" x14ac:dyDescent="0.25">
      <c r="A54" s="81" t="s">
        <v>229</v>
      </c>
      <c r="B54" s="82" t="s">
        <v>384</v>
      </c>
      <c r="C54" s="81" t="s">
        <v>509</v>
      </c>
      <c r="D54" s="83">
        <v>40</v>
      </c>
      <c r="E54" s="84">
        <v>2995</v>
      </c>
      <c r="F54" s="85">
        <f>D54*E54</f>
        <v>119800</v>
      </c>
      <c r="G54" s="81" t="s">
        <v>510</v>
      </c>
    </row>
    <row r="55" spans="1:7" ht="48" customHeight="1" x14ac:dyDescent="0.25">
      <c r="A55" s="86" t="s">
        <v>229</v>
      </c>
      <c r="B55" s="87" t="s">
        <v>387</v>
      </c>
      <c r="C55" s="86" t="s">
        <v>237</v>
      </c>
      <c r="D55" s="88">
        <v>2</v>
      </c>
      <c r="E55" s="89">
        <v>8500</v>
      </c>
      <c r="F55" s="90">
        <f>D55*E55</f>
        <v>17000</v>
      </c>
      <c r="G55" s="86" t="s">
        <v>511</v>
      </c>
    </row>
    <row r="56" spans="1:7" ht="19.5" customHeight="1" x14ac:dyDescent="0.25">
      <c r="A56" s="6" t="s">
        <v>239</v>
      </c>
      <c r="B56" s="6"/>
      <c r="C56" s="6"/>
      <c r="D56" s="6"/>
      <c r="E56" s="6"/>
      <c r="F56" s="6"/>
      <c r="G56" s="6"/>
    </row>
    <row r="57" spans="1:7" ht="48" customHeight="1" x14ac:dyDescent="0.25">
      <c r="A57" s="96" t="s">
        <v>240</v>
      </c>
      <c r="B57" s="97" t="s">
        <v>244</v>
      </c>
      <c r="C57" s="96" t="s">
        <v>390</v>
      </c>
      <c r="D57" s="98">
        <v>1</v>
      </c>
      <c r="E57" s="99">
        <v>18000</v>
      </c>
      <c r="F57" s="100">
        <f>D57*E57</f>
        <v>18000</v>
      </c>
      <c r="G57" s="96" t="s">
        <v>512</v>
      </c>
    </row>
    <row r="58" spans="1:7" ht="19.5" customHeight="1" x14ac:dyDescent="0.25">
      <c r="A58" s="6" t="s">
        <v>247</v>
      </c>
      <c r="B58" s="6"/>
      <c r="C58" s="6"/>
      <c r="D58" s="6"/>
      <c r="E58" s="6"/>
      <c r="F58" s="6"/>
      <c r="G58" s="6"/>
    </row>
    <row r="59" spans="1:7" ht="48" customHeight="1" x14ac:dyDescent="0.25">
      <c r="A59" s="86" t="s">
        <v>248</v>
      </c>
      <c r="B59" s="87" t="s">
        <v>249</v>
      </c>
      <c r="C59" s="86" t="s">
        <v>250</v>
      </c>
      <c r="D59" s="88">
        <v>8</v>
      </c>
      <c r="E59" s="89">
        <v>3000</v>
      </c>
      <c r="F59" s="90">
        <f>D59*E59</f>
        <v>24000</v>
      </c>
      <c r="G59" s="86" t="s">
        <v>513</v>
      </c>
    </row>
    <row r="60" spans="1:7" ht="19.5" customHeight="1" x14ac:dyDescent="0.25">
      <c r="A60" s="6" t="s">
        <v>252</v>
      </c>
      <c r="B60" s="6"/>
      <c r="C60" s="6"/>
      <c r="D60" s="6"/>
      <c r="E60" s="6"/>
      <c r="F60" s="6"/>
      <c r="G60" s="6"/>
    </row>
    <row r="61" spans="1:7" ht="48" customHeight="1" x14ac:dyDescent="0.25">
      <c r="A61" s="81" t="s">
        <v>253</v>
      </c>
      <c r="B61" s="82" t="s">
        <v>254</v>
      </c>
      <c r="C61" s="81" t="s">
        <v>255</v>
      </c>
      <c r="D61" s="83">
        <v>140</v>
      </c>
      <c r="E61" s="84">
        <v>95</v>
      </c>
      <c r="F61" s="85">
        <f t="shared" ref="F61:F67" si="2">D61*E61</f>
        <v>13300</v>
      </c>
      <c r="G61" s="81" t="s">
        <v>514</v>
      </c>
    </row>
    <row r="62" spans="1:7" ht="48" customHeight="1" x14ac:dyDescent="0.25">
      <c r="A62" s="86" t="s">
        <v>253</v>
      </c>
      <c r="B62" s="87" t="s">
        <v>257</v>
      </c>
      <c r="C62" s="86" t="s">
        <v>258</v>
      </c>
      <c r="D62" s="88">
        <v>200</v>
      </c>
      <c r="E62" s="89">
        <v>18</v>
      </c>
      <c r="F62" s="90">
        <f t="shared" si="2"/>
        <v>3600</v>
      </c>
      <c r="G62" s="86" t="s">
        <v>394</v>
      </c>
    </row>
    <row r="63" spans="1:7" ht="48" customHeight="1" x14ac:dyDescent="0.25">
      <c r="A63" s="86" t="s">
        <v>253</v>
      </c>
      <c r="B63" s="87" t="s">
        <v>260</v>
      </c>
      <c r="C63" s="86" t="s">
        <v>261</v>
      </c>
      <c r="D63" s="88">
        <v>8</v>
      </c>
      <c r="E63" s="89">
        <v>450</v>
      </c>
      <c r="F63" s="90">
        <f t="shared" si="2"/>
        <v>3600</v>
      </c>
      <c r="G63" s="86" t="s">
        <v>515</v>
      </c>
    </row>
    <row r="64" spans="1:7" ht="48" customHeight="1" x14ac:dyDescent="0.25">
      <c r="A64" s="96" t="s">
        <v>253</v>
      </c>
      <c r="B64" s="97" t="s">
        <v>263</v>
      </c>
      <c r="C64" s="96" t="s">
        <v>264</v>
      </c>
      <c r="D64" s="98">
        <v>64</v>
      </c>
      <c r="E64" s="99">
        <v>85</v>
      </c>
      <c r="F64" s="100">
        <f t="shared" si="2"/>
        <v>5440</v>
      </c>
      <c r="G64" s="96" t="s">
        <v>516</v>
      </c>
    </row>
    <row r="65" spans="1:7" ht="48" customHeight="1" x14ac:dyDescent="0.25">
      <c r="A65" s="81" t="s">
        <v>266</v>
      </c>
      <c r="B65" s="82" t="s">
        <v>267</v>
      </c>
      <c r="C65" s="81" t="s">
        <v>268</v>
      </c>
      <c r="D65" s="83">
        <v>160</v>
      </c>
      <c r="E65" s="84">
        <v>420</v>
      </c>
      <c r="F65" s="85">
        <f t="shared" si="2"/>
        <v>67200</v>
      </c>
      <c r="G65" s="81" t="s">
        <v>517</v>
      </c>
    </row>
    <row r="66" spans="1:7" ht="48" customHeight="1" x14ac:dyDescent="0.25">
      <c r="A66" s="81" t="s">
        <v>266</v>
      </c>
      <c r="B66" s="82" t="s">
        <v>270</v>
      </c>
      <c r="C66" s="81" t="s">
        <v>271</v>
      </c>
      <c r="D66" s="83">
        <v>100</v>
      </c>
      <c r="E66" s="84">
        <v>280</v>
      </c>
      <c r="F66" s="85">
        <f t="shared" si="2"/>
        <v>28000</v>
      </c>
      <c r="G66" s="81" t="s">
        <v>518</v>
      </c>
    </row>
    <row r="67" spans="1:7" ht="48" customHeight="1" x14ac:dyDescent="0.25">
      <c r="A67" s="96" t="s">
        <v>266</v>
      </c>
      <c r="B67" s="97" t="s">
        <v>519</v>
      </c>
      <c r="C67" s="96" t="s">
        <v>274</v>
      </c>
      <c r="D67" s="98">
        <v>80</v>
      </c>
      <c r="E67" s="99">
        <v>185</v>
      </c>
      <c r="F67" s="100">
        <f t="shared" si="2"/>
        <v>14800</v>
      </c>
      <c r="G67" s="96" t="s">
        <v>520</v>
      </c>
    </row>
    <row r="68" spans="1:7" ht="27.75" customHeight="1" x14ac:dyDescent="0.25">
      <c r="A68" s="4" t="s">
        <v>521</v>
      </c>
      <c r="B68" s="4"/>
      <c r="C68" s="4"/>
      <c r="D68" s="4"/>
      <c r="E68" s="4"/>
      <c r="F68" s="106">
        <f>SUM(F4:F67)</f>
        <v>3657840</v>
      </c>
      <c r="G68" s="107" t="s">
        <v>401</v>
      </c>
    </row>
    <row r="70" spans="1:7" ht="21.75" customHeight="1" x14ac:dyDescent="0.25">
      <c r="A70" s="7" t="s">
        <v>278</v>
      </c>
      <c r="B70" s="7"/>
      <c r="C70" s="59" t="s">
        <v>522</v>
      </c>
      <c r="D70" s="58" t="s">
        <v>403</v>
      </c>
      <c r="E70" s="70" t="s">
        <v>523</v>
      </c>
      <c r="F70" s="61" t="s">
        <v>405</v>
      </c>
      <c r="G70" s="60" t="s">
        <v>281</v>
      </c>
    </row>
  </sheetData>
  <mergeCells count="22">
    <mergeCell ref="A68:E68"/>
    <mergeCell ref="A70:B70"/>
    <mergeCell ref="A45:G45"/>
    <mergeCell ref="A52:G52"/>
    <mergeCell ref="A56:G56"/>
    <mergeCell ref="A58:G58"/>
    <mergeCell ref="A60:G60"/>
    <mergeCell ref="A29:G29"/>
    <mergeCell ref="A33:G33"/>
    <mergeCell ref="A35:G35"/>
    <mergeCell ref="A41:G41"/>
    <mergeCell ref="A43:G43"/>
    <mergeCell ref="A17:G17"/>
    <mergeCell ref="A18:G18"/>
    <mergeCell ref="A19:G19"/>
    <mergeCell ref="A22:G22"/>
    <mergeCell ref="A25:G25"/>
    <mergeCell ref="A1:G1"/>
    <mergeCell ref="A2:G2"/>
    <mergeCell ref="A4:G4"/>
    <mergeCell ref="A12:G12"/>
    <mergeCell ref="A15:G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zoomScaleNormal="100" workbookViewId="0"/>
  </sheetViews>
  <sheetFormatPr defaultColWidth="8.7109375" defaultRowHeight="15" x14ac:dyDescent="0.25"/>
  <cols>
    <col min="1" max="1" width="32" customWidth="1"/>
    <col min="2" max="2" width="42" customWidth="1"/>
    <col min="3" max="3" width="16" customWidth="1"/>
    <col min="4" max="4" width="40" customWidth="1"/>
  </cols>
  <sheetData>
    <row r="1" spans="1:4" ht="27.75" customHeight="1" x14ac:dyDescent="0.25">
      <c r="A1" s="12" t="s">
        <v>524</v>
      </c>
      <c r="B1" s="12"/>
      <c r="C1" s="12"/>
      <c r="D1" s="12"/>
    </row>
    <row r="2" spans="1:4" ht="21.75" customHeight="1" x14ac:dyDescent="0.25">
      <c r="A2" s="80" t="s">
        <v>284</v>
      </c>
      <c r="B2" s="80" t="s">
        <v>525</v>
      </c>
      <c r="C2" s="80" t="s">
        <v>4</v>
      </c>
      <c r="D2" s="80" t="s">
        <v>526</v>
      </c>
    </row>
    <row r="3" spans="1:4" ht="49.5" customHeight="1" x14ac:dyDescent="0.25">
      <c r="A3" s="108" t="s">
        <v>527</v>
      </c>
      <c r="B3" s="81" t="s">
        <v>528</v>
      </c>
      <c r="C3" s="109" t="s">
        <v>404</v>
      </c>
      <c r="D3" s="81" t="s">
        <v>529</v>
      </c>
    </row>
    <row r="4" spans="1:4" ht="49.5" customHeight="1" x14ac:dyDescent="0.25">
      <c r="A4" s="108" t="s">
        <v>530</v>
      </c>
      <c r="B4" s="81" t="s">
        <v>531</v>
      </c>
      <c r="C4" s="109" t="s">
        <v>404</v>
      </c>
      <c r="D4" s="81" t="s">
        <v>532</v>
      </c>
    </row>
    <row r="5" spans="1:4" ht="49.5" customHeight="1" x14ac:dyDescent="0.25">
      <c r="A5" s="108" t="s">
        <v>533</v>
      </c>
      <c r="B5" s="81" t="s">
        <v>534</v>
      </c>
      <c r="C5" s="109" t="s">
        <v>404</v>
      </c>
      <c r="D5" s="81" t="s">
        <v>535</v>
      </c>
    </row>
    <row r="6" spans="1:4" ht="49.5" customHeight="1" x14ac:dyDescent="0.25">
      <c r="A6" s="108" t="s">
        <v>536</v>
      </c>
      <c r="B6" s="81" t="s">
        <v>537</v>
      </c>
      <c r="C6" s="109" t="s">
        <v>404</v>
      </c>
      <c r="D6" s="81" t="s">
        <v>538</v>
      </c>
    </row>
    <row r="7" spans="1:4" ht="49.5" customHeight="1" x14ac:dyDescent="0.25">
      <c r="A7" s="108" t="s">
        <v>539</v>
      </c>
      <c r="B7" s="81" t="s">
        <v>540</v>
      </c>
      <c r="C7" s="109" t="s">
        <v>404</v>
      </c>
      <c r="D7" s="81" t="s">
        <v>541</v>
      </c>
    </row>
    <row r="8" spans="1:4" ht="49.5" customHeight="1" x14ac:dyDescent="0.25">
      <c r="A8" s="110" t="s">
        <v>115</v>
      </c>
      <c r="B8" s="91" t="s">
        <v>542</v>
      </c>
      <c r="C8" s="111" t="s">
        <v>8</v>
      </c>
      <c r="D8" s="91" t="s">
        <v>543</v>
      </c>
    </row>
    <row r="9" spans="1:4" ht="49.5" customHeight="1" x14ac:dyDescent="0.25">
      <c r="A9" s="110" t="s">
        <v>118</v>
      </c>
      <c r="B9" s="91" t="s">
        <v>542</v>
      </c>
      <c r="C9" s="111" t="s">
        <v>8</v>
      </c>
      <c r="D9" s="91" t="s">
        <v>543</v>
      </c>
    </row>
    <row r="10" spans="1:4" ht="49.5" customHeight="1" x14ac:dyDescent="0.25">
      <c r="A10" s="110" t="s">
        <v>121</v>
      </c>
      <c r="B10" s="91" t="s">
        <v>542</v>
      </c>
      <c r="C10" s="111" t="s">
        <v>8</v>
      </c>
      <c r="D10" s="91" t="s">
        <v>543</v>
      </c>
    </row>
    <row r="11" spans="1:4" ht="49.5" customHeight="1" x14ac:dyDescent="0.25">
      <c r="A11" s="108" t="s">
        <v>544</v>
      </c>
      <c r="B11" s="81" t="s">
        <v>545</v>
      </c>
      <c r="C11" s="109" t="s">
        <v>404</v>
      </c>
      <c r="D11" s="81" t="s">
        <v>546</v>
      </c>
    </row>
    <row r="12" spans="1:4" ht="49.5" customHeight="1" x14ac:dyDescent="0.25">
      <c r="A12" s="108" t="s">
        <v>547</v>
      </c>
      <c r="B12" s="81" t="s">
        <v>548</v>
      </c>
      <c r="C12" s="109" t="s">
        <v>404</v>
      </c>
      <c r="D12" s="81" t="s">
        <v>549</v>
      </c>
    </row>
    <row r="13" spans="1:4" ht="49.5" customHeight="1" x14ac:dyDescent="0.25">
      <c r="A13" s="110" t="s">
        <v>550</v>
      </c>
      <c r="B13" s="91" t="s">
        <v>551</v>
      </c>
      <c r="C13" s="111" t="s">
        <v>8</v>
      </c>
      <c r="D13" s="91" t="s">
        <v>552</v>
      </c>
    </row>
    <row r="14" spans="1:4" ht="49.5" customHeight="1" x14ac:dyDescent="0.25">
      <c r="A14" s="110" t="s">
        <v>157</v>
      </c>
      <c r="B14" s="91" t="s">
        <v>542</v>
      </c>
      <c r="C14" s="111" t="s">
        <v>8</v>
      </c>
      <c r="D14" s="91" t="s">
        <v>553</v>
      </c>
    </row>
    <row r="15" spans="1:4" ht="49.5" customHeight="1" x14ac:dyDescent="0.25">
      <c r="A15" s="108" t="s">
        <v>554</v>
      </c>
      <c r="B15" s="81" t="s">
        <v>555</v>
      </c>
      <c r="C15" s="109" t="s">
        <v>404</v>
      </c>
      <c r="D15" s="81" t="s">
        <v>556</v>
      </c>
    </row>
    <row r="16" spans="1:4" ht="49.5" customHeight="1" x14ac:dyDescent="0.25">
      <c r="A16" s="110" t="s">
        <v>241</v>
      </c>
      <c r="B16" s="91" t="s">
        <v>542</v>
      </c>
      <c r="C16" s="111" t="s">
        <v>8</v>
      </c>
      <c r="D16" s="91" t="s">
        <v>557</v>
      </c>
    </row>
    <row r="17" spans="1:4" ht="49.5" customHeight="1" x14ac:dyDescent="0.25">
      <c r="A17" s="108" t="s">
        <v>222</v>
      </c>
      <c r="B17" s="81" t="s">
        <v>558</v>
      </c>
      <c r="C17" s="109" t="s">
        <v>404</v>
      </c>
      <c r="D17" s="81" t="s">
        <v>559</v>
      </c>
    </row>
    <row r="18" spans="1:4" ht="49.5" customHeight="1" x14ac:dyDescent="0.25">
      <c r="A18" s="108" t="s">
        <v>560</v>
      </c>
      <c r="B18" s="81" t="s">
        <v>561</v>
      </c>
      <c r="C18" s="109" t="s">
        <v>404</v>
      </c>
      <c r="D18" s="81" t="s">
        <v>562</v>
      </c>
    </row>
    <row r="19" spans="1:4" ht="49.5" customHeight="1" x14ac:dyDescent="0.25">
      <c r="A19" s="108" t="s">
        <v>563</v>
      </c>
      <c r="B19" s="81" t="s">
        <v>564</v>
      </c>
      <c r="C19" s="109" t="s">
        <v>404</v>
      </c>
      <c r="D19" s="81" t="s">
        <v>565</v>
      </c>
    </row>
  </sheetData>
  <mergeCells count="1">
    <mergeCell ref="A1:D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0"/>
  <sheetViews>
    <sheetView tabSelected="1" zoomScaleNormal="100" workbookViewId="0">
      <selection activeCell="C64" sqref="C64"/>
    </sheetView>
  </sheetViews>
  <sheetFormatPr defaultColWidth="8.7109375" defaultRowHeight="15" x14ac:dyDescent="0.25"/>
  <cols>
    <col min="1" max="1" width="24" customWidth="1"/>
    <col min="2" max="2" width="38" customWidth="1"/>
    <col min="3" max="3" width="36" customWidth="1"/>
    <col min="4" max="4" width="9" customWidth="1"/>
    <col min="5" max="5" width="14" customWidth="1"/>
    <col min="6" max="6" width="16" customWidth="1"/>
    <col min="7" max="7" width="44" customWidth="1"/>
  </cols>
  <sheetData>
    <row r="1" spans="1:7" ht="27.75" customHeight="1" x14ac:dyDescent="0.25">
      <c r="A1" s="12" t="s">
        <v>566</v>
      </c>
      <c r="B1" s="12"/>
      <c r="C1" s="12"/>
      <c r="D1" s="12"/>
      <c r="E1" s="12"/>
      <c r="F1" s="12"/>
      <c r="G1" s="12"/>
    </row>
    <row r="2" spans="1:7" ht="19.5" customHeight="1" x14ac:dyDescent="0.25">
      <c r="A2" s="11" t="s">
        <v>567</v>
      </c>
      <c r="B2" s="11"/>
      <c r="C2" s="11"/>
      <c r="D2" s="11"/>
      <c r="E2" s="11"/>
      <c r="F2" s="11"/>
      <c r="G2" s="11"/>
    </row>
    <row r="3" spans="1:7" ht="30" customHeight="1" x14ac:dyDescent="0.25">
      <c r="A3" s="80" t="s">
        <v>60</v>
      </c>
      <c r="B3" s="80" t="s">
        <v>61</v>
      </c>
      <c r="C3" s="80" t="s">
        <v>62</v>
      </c>
      <c r="D3" s="80" t="s">
        <v>63</v>
      </c>
      <c r="E3" s="80" t="s">
        <v>64</v>
      </c>
      <c r="F3" s="80" t="s">
        <v>65</v>
      </c>
      <c r="G3" s="80" t="s">
        <v>66</v>
      </c>
    </row>
    <row r="4" spans="1:7" ht="19.5" customHeight="1" x14ac:dyDescent="0.25">
      <c r="A4" s="6" t="s">
        <v>67</v>
      </c>
      <c r="B4" s="6"/>
      <c r="C4" s="6"/>
      <c r="D4" s="6"/>
      <c r="E4" s="6"/>
      <c r="F4" s="6"/>
      <c r="G4" s="6"/>
    </row>
    <row r="5" spans="1:7" ht="48" customHeight="1" x14ac:dyDescent="0.25">
      <c r="A5" s="81" t="s">
        <v>68</v>
      </c>
      <c r="B5" s="82" t="s">
        <v>69</v>
      </c>
      <c r="C5" s="81" t="s">
        <v>70</v>
      </c>
      <c r="D5" s="83">
        <v>1</v>
      </c>
      <c r="E5" s="84">
        <v>95000</v>
      </c>
      <c r="F5" s="85">
        <f t="shared" ref="F5:F10" si="0">D5*E5</f>
        <v>95000</v>
      </c>
      <c r="G5" s="81" t="s">
        <v>568</v>
      </c>
    </row>
    <row r="6" spans="1:7" ht="48" customHeight="1" x14ac:dyDescent="0.25">
      <c r="A6" s="86" t="s">
        <v>68</v>
      </c>
      <c r="B6" s="87" t="s">
        <v>72</v>
      </c>
      <c r="C6" s="86" t="s">
        <v>73</v>
      </c>
      <c r="D6" s="88">
        <v>2</v>
      </c>
      <c r="E6" s="89">
        <v>65000</v>
      </c>
      <c r="F6" s="90">
        <f t="shared" si="0"/>
        <v>130000</v>
      </c>
      <c r="G6" s="86" t="s">
        <v>569</v>
      </c>
    </row>
    <row r="7" spans="1:7" ht="48" customHeight="1" x14ac:dyDescent="0.25">
      <c r="A7" s="81" t="s">
        <v>68</v>
      </c>
      <c r="B7" s="82" t="s">
        <v>75</v>
      </c>
      <c r="C7" s="81" t="s">
        <v>76</v>
      </c>
      <c r="D7" s="83">
        <v>3</v>
      </c>
      <c r="E7" s="84">
        <v>22000</v>
      </c>
      <c r="F7" s="85">
        <f t="shared" si="0"/>
        <v>66000</v>
      </c>
      <c r="G7" s="81" t="s">
        <v>570</v>
      </c>
    </row>
    <row r="8" spans="1:7" ht="48" customHeight="1" x14ac:dyDescent="0.25">
      <c r="A8" s="81" t="s">
        <v>68</v>
      </c>
      <c r="B8" s="82" t="s">
        <v>78</v>
      </c>
      <c r="C8" s="81" t="s">
        <v>79</v>
      </c>
      <c r="D8" s="83">
        <v>3</v>
      </c>
      <c r="E8" s="84">
        <v>6500</v>
      </c>
      <c r="F8" s="85">
        <f t="shared" si="0"/>
        <v>19500</v>
      </c>
      <c r="G8" s="81" t="s">
        <v>571</v>
      </c>
    </row>
    <row r="9" spans="1:7" ht="48" customHeight="1" x14ac:dyDescent="0.25">
      <c r="A9" s="81" t="s">
        <v>68</v>
      </c>
      <c r="B9" s="82" t="s">
        <v>81</v>
      </c>
      <c r="C9" s="81" t="s">
        <v>82</v>
      </c>
      <c r="D9" s="83">
        <v>2</v>
      </c>
      <c r="E9" s="84">
        <v>8000</v>
      </c>
      <c r="F9" s="85">
        <f t="shared" si="0"/>
        <v>16000</v>
      </c>
      <c r="G9" s="81" t="s">
        <v>572</v>
      </c>
    </row>
    <row r="10" spans="1:7" ht="48" customHeight="1" x14ac:dyDescent="0.25">
      <c r="A10" s="81" t="s">
        <v>68</v>
      </c>
      <c r="B10" s="82" t="s">
        <v>464</v>
      </c>
      <c r="C10" s="81" t="s">
        <v>465</v>
      </c>
      <c r="D10" s="83">
        <v>1</v>
      </c>
      <c r="E10" s="84">
        <v>45000</v>
      </c>
      <c r="F10" s="85">
        <f t="shared" si="0"/>
        <v>45000</v>
      </c>
      <c r="G10" s="81" t="s">
        <v>573</v>
      </c>
    </row>
    <row r="11" spans="1:7" ht="48" customHeight="1" x14ac:dyDescent="0.25">
      <c r="A11" s="91" t="s">
        <v>68</v>
      </c>
      <c r="B11" s="92" t="s">
        <v>87</v>
      </c>
      <c r="C11" s="91" t="s">
        <v>88</v>
      </c>
      <c r="D11" s="93">
        <v>0</v>
      </c>
      <c r="E11" s="94">
        <v>0</v>
      </c>
      <c r="F11" s="95">
        <v>0</v>
      </c>
      <c r="G11" s="91" t="s">
        <v>323</v>
      </c>
    </row>
    <row r="12" spans="1:7" ht="19.5" customHeight="1" x14ac:dyDescent="0.25">
      <c r="A12" s="6" t="s">
        <v>90</v>
      </c>
      <c r="B12" s="6"/>
      <c r="C12" s="6"/>
      <c r="D12" s="6"/>
      <c r="E12" s="6"/>
      <c r="F12" s="6"/>
      <c r="G12" s="6"/>
    </row>
    <row r="13" spans="1:7" ht="48" customHeight="1" x14ac:dyDescent="0.25">
      <c r="A13" s="81" t="s">
        <v>91</v>
      </c>
      <c r="B13" s="82" t="s">
        <v>92</v>
      </c>
      <c r="C13" s="81" t="s">
        <v>467</v>
      </c>
      <c r="D13" s="83">
        <v>8</v>
      </c>
      <c r="E13" s="84">
        <v>35000</v>
      </c>
      <c r="F13" s="85">
        <f>D13*E13</f>
        <v>280000</v>
      </c>
      <c r="G13" s="81" t="s">
        <v>574</v>
      </c>
    </row>
    <row r="14" spans="1:7" ht="48" customHeight="1" x14ac:dyDescent="0.25">
      <c r="A14" s="91" t="s">
        <v>91</v>
      </c>
      <c r="B14" s="92" t="s">
        <v>325</v>
      </c>
      <c r="C14" s="91" t="s">
        <v>96</v>
      </c>
      <c r="D14" s="93">
        <v>0</v>
      </c>
      <c r="E14" s="94">
        <v>0</v>
      </c>
      <c r="F14" s="95">
        <v>0</v>
      </c>
      <c r="G14" s="91" t="s">
        <v>469</v>
      </c>
    </row>
    <row r="15" spans="1:7" ht="19.5" customHeight="1" x14ac:dyDescent="0.25">
      <c r="A15" s="6" t="s">
        <v>98</v>
      </c>
      <c r="B15" s="6"/>
      <c r="C15" s="6"/>
      <c r="D15" s="6"/>
      <c r="E15" s="6"/>
      <c r="F15" s="6"/>
      <c r="G15" s="6"/>
    </row>
    <row r="16" spans="1:7" ht="48" customHeight="1" x14ac:dyDescent="0.25">
      <c r="A16" s="86" t="s">
        <v>99</v>
      </c>
      <c r="B16" s="87" t="s">
        <v>100</v>
      </c>
      <c r="C16" s="86" t="s">
        <v>101</v>
      </c>
      <c r="D16" s="88">
        <v>6</v>
      </c>
      <c r="E16" s="89">
        <v>24000</v>
      </c>
      <c r="F16" s="90">
        <f>D16*E16</f>
        <v>144000</v>
      </c>
      <c r="G16" s="86" t="s">
        <v>470</v>
      </c>
    </row>
    <row r="17" spans="1:7" ht="19.5" customHeight="1" x14ac:dyDescent="0.25">
      <c r="A17" s="6" t="s">
        <v>103</v>
      </c>
      <c r="B17" s="6"/>
      <c r="C17" s="6"/>
      <c r="D17" s="6"/>
      <c r="E17" s="6"/>
      <c r="F17" s="6"/>
      <c r="G17" s="6"/>
    </row>
    <row r="18" spans="1:7" ht="21.75" customHeight="1" x14ac:dyDescent="0.25">
      <c r="A18" s="5" t="s">
        <v>575</v>
      </c>
      <c r="B18" s="5"/>
      <c r="C18" s="5"/>
      <c r="D18" s="5"/>
      <c r="E18" s="5"/>
      <c r="F18" s="5"/>
      <c r="G18" s="5"/>
    </row>
    <row r="19" spans="1:7" ht="19.5" customHeight="1" x14ac:dyDescent="0.25">
      <c r="A19" s="6" t="s">
        <v>105</v>
      </c>
      <c r="B19" s="6"/>
      <c r="C19" s="6"/>
      <c r="D19" s="6"/>
      <c r="E19" s="6"/>
      <c r="F19" s="6"/>
      <c r="G19" s="6"/>
    </row>
    <row r="20" spans="1:7" ht="48" customHeight="1" x14ac:dyDescent="0.25">
      <c r="A20" s="96" t="s">
        <v>106</v>
      </c>
      <c r="B20" s="97" t="s">
        <v>107</v>
      </c>
      <c r="C20" s="96" t="s">
        <v>108</v>
      </c>
      <c r="D20" s="98">
        <v>2</v>
      </c>
      <c r="E20" s="99">
        <v>22000</v>
      </c>
      <c r="F20" s="100">
        <f>D20*E20</f>
        <v>44000</v>
      </c>
      <c r="G20" s="96" t="s">
        <v>576</v>
      </c>
    </row>
    <row r="21" spans="1:7" ht="48" customHeight="1" x14ac:dyDescent="0.25">
      <c r="A21" s="96" t="s">
        <v>106</v>
      </c>
      <c r="B21" s="97" t="s">
        <v>110</v>
      </c>
      <c r="C21" s="96" t="s">
        <v>473</v>
      </c>
      <c r="D21" s="98">
        <v>2</v>
      </c>
      <c r="E21" s="99">
        <v>35000</v>
      </c>
      <c r="F21" s="100">
        <f>D21*E21</f>
        <v>70000</v>
      </c>
      <c r="G21" s="96" t="s">
        <v>577</v>
      </c>
    </row>
    <row r="22" spans="1:7" ht="19.5" customHeight="1" x14ac:dyDescent="0.25">
      <c r="A22" s="6" t="s">
        <v>475</v>
      </c>
      <c r="B22" s="6"/>
      <c r="C22" s="6"/>
      <c r="D22" s="6"/>
      <c r="E22" s="6"/>
      <c r="F22" s="6"/>
      <c r="G22" s="6"/>
    </row>
    <row r="23" spans="1:7" ht="48" customHeight="1" x14ac:dyDescent="0.25">
      <c r="A23" s="81" t="s">
        <v>125</v>
      </c>
      <c r="B23" s="82" t="s">
        <v>476</v>
      </c>
      <c r="C23" s="81" t="s">
        <v>578</v>
      </c>
      <c r="D23" s="83">
        <v>2</v>
      </c>
      <c r="E23" s="84">
        <v>185000</v>
      </c>
      <c r="F23" s="85">
        <f>D23*E23</f>
        <v>370000</v>
      </c>
      <c r="G23" s="81" t="s">
        <v>579</v>
      </c>
    </row>
    <row r="24" spans="1:7" ht="48" customHeight="1" x14ac:dyDescent="0.25">
      <c r="A24" s="91" t="s">
        <v>125</v>
      </c>
      <c r="B24" s="92" t="s">
        <v>479</v>
      </c>
      <c r="C24" s="91" t="s">
        <v>480</v>
      </c>
      <c r="D24" s="93">
        <v>0</v>
      </c>
      <c r="E24" s="94">
        <v>0</v>
      </c>
      <c r="F24" s="95">
        <v>0</v>
      </c>
      <c r="G24" s="91" t="s">
        <v>342</v>
      </c>
    </row>
    <row r="25" spans="1:7" ht="19.5" customHeight="1" x14ac:dyDescent="0.25">
      <c r="A25" s="6" t="s">
        <v>580</v>
      </c>
      <c r="B25" s="6"/>
      <c r="C25" s="6"/>
      <c r="D25" s="6"/>
      <c r="E25" s="6"/>
      <c r="F25" s="6"/>
      <c r="G25" s="6"/>
    </row>
    <row r="26" spans="1:7" ht="48" customHeight="1" x14ac:dyDescent="0.25">
      <c r="A26" s="96" t="s">
        <v>139</v>
      </c>
      <c r="B26" s="97" t="s">
        <v>140</v>
      </c>
      <c r="C26" s="96" t="s">
        <v>344</v>
      </c>
      <c r="D26" s="98">
        <v>2</v>
      </c>
      <c r="E26" s="99">
        <v>185000</v>
      </c>
      <c r="F26" s="100">
        <f>D26*E26</f>
        <v>370000</v>
      </c>
      <c r="G26" s="96" t="s">
        <v>345</v>
      </c>
    </row>
    <row r="27" spans="1:7" ht="19.5" customHeight="1" x14ac:dyDescent="0.25">
      <c r="A27" s="6" t="s">
        <v>581</v>
      </c>
      <c r="B27" s="6"/>
      <c r="C27" s="6"/>
      <c r="D27" s="6"/>
      <c r="E27" s="6"/>
      <c r="F27" s="6"/>
      <c r="G27" s="6"/>
    </row>
    <row r="28" spans="1:7" ht="48" customHeight="1" x14ac:dyDescent="0.25">
      <c r="A28" s="81" t="s">
        <v>582</v>
      </c>
      <c r="B28" s="82" t="s">
        <v>583</v>
      </c>
      <c r="C28" s="81" t="s">
        <v>584</v>
      </c>
      <c r="D28" s="83">
        <v>4</v>
      </c>
      <c r="E28" s="84">
        <v>20000</v>
      </c>
      <c r="F28" s="85">
        <f>D28*E28</f>
        <v>80000</v>
      </c>
      <c r="G28" s="81" t="s">
        <v>585</v>
      </c>
    </row>
    <row r="29" spans="1:7" ht="19.5" customHeight="1" x14ac:dyDescent="0.25">
      <c r="A29" s="6" t="s">
        <v>146</v>
      </c>
      <c r="B29" s="6"/>
      <c r="C29" s="6"/>
      <c r="D29" s="6"/>
      <c r="E29" s="6"/>
      <c r="F29" s="6"/>
      <c r="G29" s="6"/>
    </row>
    <row r="30" spans="1:7" ht="48" customHeight="1" x14ac:dyDescent="0.25">
      <c r="A30" s="86" t="s">
        <v>147</v>
      </c>
      <c r="B30" s="87" t="s">
        <v>148</v>
      </c>
      <c r="C30" s="86" t="s">
        <v>149</v>
      </c>
      <c r="D30" s="88">
        <v>2</v>
      </c>
      <c r="E30" s="89">
        <v>42000</v>
      </c>
      <c r="F30" s="90">
        <f>D30*E30</f>
        <v>84000</v>
      </c>
      <c r="G30" s="86" t="s">
        <v>586</v>
      </c>
    </row>
    <row r="31" spans="1:7" ht="48" customHeight="1" x14ac:dyDescent="0.25">
      <c r="A31" s="86" t="s">
        <v>147</v>
      </c>
      <c r="B31" s="87" t="s">
        <v>151</v>
      </c>
      <c r="C31" s="86" t="s">
        <v>152</v>
      </c>
      <c r="D31" s="88">
        <v>4</v>
      </c>
      <c r="E31" s="89">
        <v>28000</v>
      </c>
      <c r="F31" s="90">
        <f>D31*E31</f>
        <v>112000</v>
      </c>
      <c r="G31" s="86" t="s">
        <v>488</v>
      </c>
    </row>
    <row r="32" spans="1:7" ht="48" customHeight="1" x14ac:dyDescent="0.25">
      <c r="A32" s="86" t="s">
        <v>147</v>
      </c>
      <c r="B32" s="87" t="s">
        <v>154</v>
      </c>
      <c r="C32" s="86" t="s">
        <v>155</v>
      </c>
      <c r="D32" s="88">
        <v>2</v>
      </c>
      <c r="E32" s="89">
        <v>35000</v>
      </c>
      <c r="F32" s="90">
        <f>D32*E32</f>
        <v>70000</v>
      </c>
      <c r="G32" s="86" t="s">
        <v>489</v>
      </c>
    </row>
    <row r="33" spans="1:7" ht="19.5" customHeight="1" x14ac:dyDescent="0.25">
      <c r="A33" s="6" t="s">
        <v>351</v>
      </c>
      <c r="B33" s="6"/>
      <c r="C33" s="6"/>
      <c r="D33" s="6"/>
      <c r="E33" s="6"/>
      <c r="F33" s="6"/>
      <c r="G33" s="6"/>
    </row>
    <row r="34" spans="1:7" ht="48" customHeight="1" x14ac:dyDescent="0.25">
      <c r="A34" s="96" t="s">
        <v>161</v>
      </c>
      <c r="B34" s="97" t="s">
        <v>162</v>
      </c>
      <c r="C34" s="96" t="s">
        <v>163</v>
      </c>
      <c r="D34" s="98">
        <v>1</v>
      </c>
      <c r="E34" s="99">
        <v>95000</v>
      </c>
      <c r="F34" s="100">
        <f>D34*E34</f>
        <v>95000</v>
      </c>
      <c r="G34" s="96" t="s">
        <v>587</v>
      </c>
    </row>
    <row r="35" spans="1:7" ht="19.5" customHeight="1" x14ac:dyDescent="0.25">
      <c r="A35" s="6" t="s">
        <v>490</v>
      </c>
      <c r="B35" s="6"/>
      <c r="C35" s="6"/>
      <c r="D35" s="6"/>
      <c r="E35" s="6"/>
      <c r="F35" s="6"/>
      <c r="G35" s="6"/>
    </row>
    <row r="36" spans="1:7" ht="48" customHeight="1" x14ac:dyDescent="0.25">
      <c r="A36" s="101" t="s">
        <v>354</v>
      </c>
      <c r="B36" s="102" t="s">
        <v>355</v>
      </c>
      <c r="C36" s="101" t="s">
        <v>491</v>
      </c>
      <c r="D36" s="103">
        <v>2</v>
      </c>
      <c r="E36" s="104">
        <v>38000</v>
      </c>
      <c r="F36" s="105">
        <f>D36*E36</f>
        <v>76000</v>
      </c>
      <c r="G36" s="101" t="s">
        <v>588</v>
      </c>
    </row>
    <row r="37" spans="1:7" ht="48" customHeight="1" x14ac:dyDescent="0.25">
      <c r="A37" s="101" t="s">
        <v>177</v>
      </c>
      <c r="B37" s="102" t="s">
        <v>358</v>
      </c>
      <c r="C37" s="101" t="s">
        <v>359</v>
      </c>
      <c r="D37" s="103">
        <v>8</v>
      </c>
      <c r="E37" s="104">
        <v>28000</v>
      </c>
      <c r="F37" s="105">
        <f>D37*E37</f>
        <v>224000</v>
      </c>
      <c r="G37" s="101" t="s">
        <v>589</v>
      </c>
    </row>
    <row r="38" spans="1:7" ht="48" customHeight="1" x14ac:dyDescent="0.25">
      <c r="A38" s="101" t="s">
        <v>181</v>
      </c>
      <c r="B38" s="102" t="s">
        <v>182</v>
      </c>
      <c r="C38" s="101" t="s">
        <v>183</v>
      </c>
      <c r="D38" s="103">
        <v>2</v>
      </c>
      <c r="E38" s="104">
        <v>12000</v>
      </c>
      <c r="F38" s="105">
        <f>D38*E38</f>
        <v>24000</v>
      </c>
      <c r="G38" s="101" t="s">
        <v>590</v>
      </c>
    </row>
    <row r="39" spans="1:7" ht="48" customHeight="1" x14ac:dyDescent="0.25">
      <c r="A39" s="101" t="s">
        <v>185</v>
      </c>
      <c r="B39" s="102" t="s">
        <v>362</v>
      </c>
      <c r="C39" s="101" t="s">
        <v>495</v>
      </c>
      <c r="D39" s="103">
        <v>2</v>
      </c>
      <c r="E39" s="104">
        <v>28000</v>
      </c>
      <c r="F39" s="105">
        <f>D39*E39</f>
        <v>56000</v>
      </c>
      <c r="G39" s="101" t="s">
        <v>591</v>
      </c>
    </row>
    <row r="40" spans="1:7" ht="48" customHeight="1" x14ac:dyDescent="0.25">
      <c r="A40" s="96" t="s">
        <v>192</v>
      </c>
      <c r="B40" s="97" t="s">
        <v>193</v>
      </c>
      <c r="C40" s="96" t="s">
        <v>194</v>
      </c>
      <c r="D40" s="98">
        <v>8</v>
      </c>
      <c r="E40" s="99">
        <v>2800</v>
      </c>
      <c r="F40" s="100">
        <f>D40*E40</f>
        <v>22400</v>
      </c>
      <c r="G40" s="96" t="s">
        <v>365</v>
      </c>
    </row>
    <row r="41" spans="1:7" ht="19.5" customHeight="1" x14ac:dyDescent="0.25">
      <c r="A41" s="6" t="s">
        <v>196</v>
      </c>
      <c r="B41" s="6"/>
      <c r="C41" s="6"/>
      <c r="D41" s="6"/>
      <c r="E41" s="6"/>
      <c r="F41" s="6"/>
      <c r="G41" s="6"/>
    </row>
    <row r="42" spans="1:7" ht="48" customHeight="1" x14ac:dyDescent="0.25">
      <c r="A42" s="86" t="s">
        <v>197</v>
      </c>
      <c r="B42" s="87" t="s">
        <v>198</v>
      </c>
      <c r="C42" s="86" t="s">
        <v>199</v>
      </c>
      <c r="D42" s="88">
        <v>4</v>
      </c>
      <c r="E42" s="89">
        <v>45000</v>
      </c>
      <c r="F42" s="90">
        <f>D42*E42</f>
        <v>180000</v>
      </c>
      <c r="G42" s="86" t="s">
        <v>366</v>
      </c>
    </row>
    <row r="43" spans="1:7" ht="19.5" customHeight="1" x14ac:dyDescent="0.25">
      <c r="A43" s="6" t="s">
        <v>201</v>
      </c>
      <c r="B43" s="6"/>
      <c r="C43" s="6"/>
      <c r="D43" s="6"/>
      <c r="E43" s="6"/>
      <c r="F43" s="6"/>
      <c r="G43" s="6"/>
    </row>
    <row r="44" spans="1:7" ht="48" customHeight="1" x14ac:dyDescent="0.25">
      <c r="A44" s="101" t="s">
        <v>202</v>
      </c>
      <c r="B44" s="102" t="s">
        <v>368</v>
      </c>
      <c r="C44" s="101" t="s">
        <v>497</v>
      </c>
      <c r="D44" s="103">
        <v>2</v>
      </c>
      <c r="E44" s="104">
        <v>28000</v>
      </c>
      <c r="F44" s="105">
        <f>D44*E44</f>
        <v>56000</v>
      </c>
      <c r="G44" s="101" t="s">
        <v>592</v>
      </c>
    </row>
    <row r="45" spans="1:7" ht="19.5" customHeight="1" x14ac:dyDescent="0.25">
      <c r="A45" s="6" t="s">
        <v>206</v>
      </c>
      <c r="B45" s="6"/>
      <c r="C45" s="6"/>
      <c r="D45" s="6"/>
      <c r="E45" s="6"/>
      <c r="F45" s="6"/>
      <c r="G45" s="6"/>
    </row>
    <row r="46" spans="1:7" ht="48" customHeight="1" x14ac:dyDescent="0.25">
      <c r="A46" s="96" t="s">
        <v>207</v>
      </c>
      <c r="B46" s="97" t="s">
        <v>208</v>
      </c>
      <c r="C46" s="96" t="s">
        <v>371</v>
      </c>
      <c r="D46" s="98">
        <v>1</v>
      </c>
      <c r="E46" s="99">
        <v>120000</v>
      </c>
      <c r="F46" s="100">
        <f t="shared" ref="F46:F51" si="1">D46*E46</f>
        <v>120000</v>
      </c>
      <c r="G46" s="96" t="s">
        <v>372</v>
      </c>
    </row>
    <row r="47" spans="1:7" ht="48" customHeight="1" x14ac:dyDescent="0.25">
      <c r="A47" s="96" t="s">
        <v>207</v>
      </c>
      <c r="B47" s="97" t="s">
        <v>211</v>
      </c>
      <c r="C47" s="96" t="s">
        <v>212</v>
      </c>
      <c r="D47" s="98">
        <v>1</v>
      </c>
      <c r="E47" s="99">
        <v>79200</v>
      </c>
      <c r="F47" s="100">
        <f t="shared" si="1"/>
        <v>79200</v>
      </c>
      <c r="G47" s="96" t="s">
        <v>499</v>
      </c>
    </row>
    <row r="48" spans="1:7" ht="48" customHeight="1" x14ac:dyDescent="0.25">
      <c r="A48" s="81" t="s">
        <v>214</v>
      </c>
      <c r="B48" s="82" t="s">
        <v>500</v>
      </c>
      <c r="C48" s="81" t="s">
        <v>501</v>
      </c>
      <c r="D48" s="83">
        <v>1</v>
      </c>
      <c r="E48" s="84">
        <v>35000</v>
      </c>
      <c r="F48" s="85">
        <f t="shared" si="1"/>
        <v>35000</v>
      </c>
      <c r="G48" s="81" t="s">
        <v>593</v>
      </c>
    </row>
    <row r="49" spans="1:7" ht="48" customHeight="1" x14ac:dyDescent="0.25">
      <c r="A49" s="81" t="s">
        <v>218</v>
      </c>
      <c r="B49" s="82" t="s">
        <v>219</v>
      </c>
      <c r="C49" s="81" t="s">
        <v>220</v>
      </c>
      <c r="D49" s="83">
        <v>1</v>
      </c>
      <c r="E49" s="84">
        <v>75000</v>
      </c>
      <c r="F49" s="85">
        <f t="shared" si="1"/>
        <v>75000</v>
      </c>
      <c r="G49" s="81" t="s">
        <v>503</v>
      </c>
    </row>
    <row r="50" spans="1:7" ht="48" customHeight="1" x14ac:dyDescent="0.25">
      <c r="A50" s="81" t="s">
        <v>218</v>
      </c>
      <c r="B50" s="82" t="s">
        <v>222</v>
      </c>
      <c r="C50" s="81" t="s">
        <v>504</v>
      </c>
      <c r="D50" s="83">
        <v>4</v>
      </c>
      <c r="E50" s="84">
        <v>8500</v>
      </c>
      <c r="F50" s="85">
        <f t="shared" si="1"/>
        <v>34000</v>
      </c>
      <c r="G50" s="81" t="s">
        <v>594</v>
      </c>
    </row>
    <row r="51" spans="1:7" ht="48" customHeight="1" x14ac:dyDescent="0.25">
      <c r="A51" s="81" t="s">
        <v>218</v>
      </c>
      <c r="B51" s="82" t="s">
        <v>225</v>
      </c>
      <c r="C51" s="81" t="s">
        <v>506</v>
      </c>
      <c r="D51" s="83">
        <v>200</v>
      </c>
      <c r="E51" s="84">
        <v>85</v>
      </c>
      <c r="F51" s="85">
        <f t="shared" si="1"/>
        <v>17000</v>
      </c>
      <c r="G51" s="81" t="s">
        <v>380</v>
      </c>
    </row>
    <row r="52" spans="1:7" ht="19.5" customHeight="1" x14ac:dyDescent="0.25">
      <c r="A52" s="6" t="s">
        <v>228</v>
      </c>
      <c r="B52" s="6"/>
      <c r="C52" s="6"/>
      <c r="D52" s="6"/>
      <c r="E52" s="6"/>
      <c r="F52" s="6"/>
      <c r="G52" s="6"/>
    </row>
    <row r="53" spans="1:7" ht="48" customHeight="1" x14ac:dyDescent="0.25">
      <c r="A53" s="81" t="s">
        <v>229</v>
      </c>
      <c r="B53" s="82" t="s">
        <v>230</v>
      </c>
      <c r="C53" s="81" t="s">
        <v>507</v>
      </c>
      <c r="D53" s="83">
        <v>40</v>
      </c>
      <c r="E53" s="84">
        <v>5950</v>
      </c>
      <c r="F53" s="85">
        <f>D53*E53</f>
        <v>238000</v>
      </c>
      <c r="G53" s="81" t="s">
        <v>595</v>
      </c>
    </row>
    <row r="54" spans="1:7" ht="48" customHeight="1" x14ac:dyDescent="0.25">
      <c r="A54" s="81" t="s">
        <v>229</v>
      </c>
      <c r="B54" s="82" t="s">
        <v>384</v>
      </c>
      <c r="C54" s="81" t="s">
        <v>509</v>
      </c>
      <c r="D54" s="83">
        <v>40</v>
      </c>
      <c r="E54" s="84">
        <v>2995</v>
      </c>
      <c r="F54" s="85">
        <f>D54*E54</f>
        <v>119800</v>
      </c>
      <c r="G54" s="81" t="s">
        <v>596</v>
      </c>
    </row>
    <row r="55" spans="1:7" ht="48" customHeight="1" x14ac:dyDescent="0.25">
      <c r="A55" s="86" t="s">
        <v>229</v>
      </c>
      <c r="B55" s="87" t="s">
        <v>387</v>
      </c>
      <c r="C55" s="86" t="s">
        <v>237</v>
      </c>
      <c r="D55" s="88">
        <v>2</v>
      </c>
      <c r="E55" s="89">
        <v>8500</v>
      </c>
      <c r="F55" s="90">
        <f>D55*E55</f>
        <v>17000</v>
      </c>
      <c r="G55" s="86" t="s">
        <v>511</v>
      </c>
    </row>
    <row r="56" spans="1:7" ht="19.5" customHeight="1" x14ac:dyDescent="0.25">
      <c r="A56" s="6" t="s">
        <v>239</v>
      </c>
      <c r="B56" s="6"/>
      <c r="C56" s="6"/>
      <c r="D56" s="6"/>
      <c r="E56" s="6"/>
      <c r="F56" s="6"/>
      <c r="G56" s="6"/>
    </row>
    <row r="57" spans="1:7" ht="48" customHeight="1" x14ac:dyDescent="0.25">
      <c r="A57" s="96" t="s">
        <v>240</v>
      </c>
      <c r="B57" s="97" t="s">
        <v>244</v>
      </c>
      <c r="C57" s="96" t="s">
        <v>390</v>
      </c>
      <c r="D57" s="98">
        <v>1</v>
      </c>
      <c r="E57" s="99">
        <v>18000</v>
      </c>
      <c r="F57" s="100">
        <f>D57*E57</f>
        <v>18000</v>
      </c>
      <c r="G57" s="96" t="s">
        <v>512</v>
      </c>
    </row>
    <row r="58" spans="1:7" ht="19.5" customHeight="1" x14ac:dyDescent="0.25">
      <c r="A58" s="6" t="s">
        <v>247</v>
      </c>
      <c r="B58" s="6"/>
      <c r="C58" s="6"/>
      <c r="D58" s="6"/>
      <c r="E58" s="6"/>
      <c r="F58" s="6"/>
      <c r="G58" s="6"/>
    </row>
    <row r="59" spans="1:7" ht="48" customHeight="1" x14ac:dyDescent="0.25">
      <c r="A59" s="86" t="s">
        <v>248</v>
      </c>
      <c r="B59" s="87" t="s">
        <v>249</v>
      </c>
      <c r="C59" s="86" t="s">
        <v>250</v>
      </c>
      <c r="D59" s="88">
        <v>8</v>
      </c>
      <c r="E59" s="89">
        <v>3000</v>
      </c>
      <c r="F59" s="90">
        <f>D59*E59</f>
        <v>24000</v>
      </c>
      <c r="G59" s="86" t="s">
        <v>513</v>
      </c>
    </row>
    <row r="60" spans="1:7" ht="19.5" customHeight="1" x14ac:dyDescent="0.25">
      <c r="A60" s="6" t="s">
        <v>252</v>
      </c>
      <c r="B60" s="6"/>
      <c r="C60" s="6"/>
      <c r="D60" s="6"/>
      <c r="E60" s="6"/>
      <c r="F60" s="6"/>
      <c r="G60" s="6"/>
    </row>
    <row r="61" spans="1:7" ht="48" customHeight="1" x14ac:dyDescent="0.25">
      <c r="A61" s="81" t="s">
        <v>253</v>
      </c>
      <c r="B61" s="82" t="s">
        <v>254</v>
      </c>
      <c r="C61" s="81" t="s">
        <v>255</v>
      </c>
      <c r="D61" s="83">
        <v>140</v>
      </c>
      <c r="E61" s="84">
        <v>95</v>
      </c>
      <c r="F61" s="85">
        <f t="shared" ref="F61:F67" si="2">D61*E61</f>
        <v>13300</v>
      </c>
      <c r="G61" s="81" t="s">
        <v>597</v>
      </c>
    </row>
    <row r="62" spans="1:7" ht="48" customHeight="1" x14ac:dyDescent="0.25">
      <c r="A62" s="86" t="s">
        <v>253</v>
      </c>
      <c r="B62" s="87" t="s">
        <v>257</v>
      </c>
      <c r="C62" s="86" t="s">
        <v>258</v>
      </c>
      <c r="D62" s="88">
        <v>200</v>
      </c>
      <c r="E62" s="89">
        <v>18</v>
      </c>
      <c r="F62" s="90">
        <f t="shared" si="2"/>
        <v>3600</v>
      </c>
      <c r="G62" s="86" t="s">
        <v>394</v>
      </c>
    </row>
    <row r="63" spans="1:7" ht="48" customHeight="1" x14ac:dyDescent="0.25">
      <c r="A63" s="86" t="s">
        <v>253</v>
      </c>
      <c r="B63" s="87" t="s">
        <v>260</v>
      </c>
      <c r="C63" s="86" t="s">
        <v>261</v>
      </c>
      <c r="D63" s="88">
        <v>8</v>
      </c>
      <c r="E63" s="89">
        <v>450</v>
      </c>
      <c r="F63" s="90">
        <f t="shared" si="2"/>
        <v>3600</v>
      </c>
      <c r="G63" s="86" t="s">
        <v>515</v>
      </c>
    </row>
    <row r="64" spans="1:7" ht="48" customHeight="1" x14ac:dyDescent="0.25">
      <c r="A64" s="81" t="s">
        <v>253</v>
      </c>
      <c r="B64" s="82" t="s">
        <v>263</v>
      </c>
      <c r="C64" s="81" t="s">
        <v>598</v>
      </c>
      <c r="D64" s="83">
        <v>64</v>
      </c>
      <c r="E64" s="84">
        <v>85</v>
      </c>
      <c r="F64" s="85">
        <f t="shared" si="2"/>
        <v>5440</v>
      </c>
      <c r="G64" s="81" t="s">
        <v>599</v>
      </c>
    </row>
    <row r="65" spans="1:7" ht="48" customHeight="1" x14ac:dyDescent="0.25">
      <c r="A65" s="81" t="s">
        <v>266</v>
      </c>
      <c r="B65" s="82" t="s">
        <v>267</v>
      </c>
      <c r="C65" s="81" t="s">
        <v>268</v>
      </c>
      <c r="D65" s="83">
        <v>160</v>
      </c>
      <c r="E65" s="84">
        <v>420</v>
      </c>
      <c r="F65" s="85">
        <f t="shared" si="2"/>
        <v>67200</v>
      </c>
      <c r="G65" s="81" t="s">
        <v>600</v>
      </c>
    </row>
    <row r="66" spans="1:7" ht="48" customHeight="1" x14ac:dyDescent="0.25">
      <c r="A66" s="81" t="s">
        <v>266</v>
      </c>
      <c r="B66" s="82" t="s">
        <v>270</v>
      </c>
      <c r="C66" s="81" t="s">
        <v>271</v>
      </c>
      <c r="D66" s="83">
        <v>100</v>
      </c>
      <c r="E66" s="84">
        <v>280</v>
      </c>
      <c r="F66" s="85">
        <f t="shared" si="2"/>
        <v>28000</v>
      </c>
      <c r="G66" s="81" t="s">
        <v>601</v>
      </c>
    </row>
    <row r="67" spans="1:7" ht="48" customHeight="1" x14ac:dyDescent="0.25">
      <c r="A67" s="81" t="s">
        <v>266</v>
      </c>
      <c r="B67" s="82" t="s">
        <v>602</v>
      </c>
      <c r="C67" s="81" t="s">
        <v>603</v>
      </c>
      <c r="D67" s="83">
        <v>64</v>
      </c>
      <c r="E67" s="84">
        <v>185</v>
      </c>
      <c r="F67" s="85">
        <f t="shared" si="2"/>
        <v>11840</v>
      </c>
      <c r="G67" s="81" t="s">
        <v>604</v>
      </c>
    </row>
    <row r="68" spans="1:7" ht="27.75" customHeight="1" x14ac:dyDescent="0.25">
      <c r="A68" s="4" t="s">
        <v>605</v>
      </c>
      <c r="B68" s="4"/>
      <c r="C68" s="4"/>
      <c r="D68" s="4"/>
      <c r="E68" s="4"/>
      <c r="F68" s="106">
        <f>SUM(F4:F67)</f>
        <v>3638880</v>
      </c>
      <c r="G68" s="107" t="s">
        <v>401</v>
      </c>
    </row>
    <row r="70" spans="1:7" ht="21.75" customHeight="1" x14ac:dyDescent="0.25">
      <c r="A70" s="7" t="s">
        <v>278</v>
      </c>
      <c r="B70" s="7"/>
      <c r="C70" s="59" t="s">
        <v>606</v>
      </c>
      <c r="D70" s="58" t="s">
        <v>403</v>
      </c>
      <c r="E70" s="70" t="s">
        <v>523</v>
      </c>
      <c r="F70" s="61" t="s">
        <v>405</v>
      </c>
      <c r="G70" s="60" t="s">
        <v>281</v>
      </c>
    </row>
  </sheetData>
  <mergeCells count="23">
    <mergeCell ref="A60:G60"/>
    <mergeCell ref="A68:E68"/>
    <mergeCell ref="A70:B70"/>
    <mergeCell ref="A43:G43"/>
    <mergeCell ref="A45:G45"/>
    <mergeCell ref="A52:G52"/>
    <mergeCell ref="A56:G56"/>
    <mergeCell ref="A58:G58"/>
    <mergeCell ref="A27:G27"/>
    <mergeCell ref="A29:G29"/>
    <mergeCell ref="A33:G33"/>
    <mergeCell ref="A35:G35"/>
    <mergeCell ref="A41:G41"/>
    <mergeCell ref="A17:G17"/>
    <mergeCell ref="A18:G18"/>
    <mergeCell ref="A19:G19"/>
    <mergeCell ref="A22:G22"/>
    <mergeCell ref="A25:G25"/>
    <mergeCell ref="A1:G1"/>
    <mergeCell ref="A2:G2"/>
    <mergeCell ref="A4:G4"/>
    <mergeCell ref="A12:G12"/>
    <mergeCell ref="A15:G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zoomScaleNormal="100" workbookViewId="0">
      <selection sqref="A1:D1"/>
    </sheetView>
  </sheetViews>
  <sheetFormatPr defaultColWidth="8.7109375" defaultRowHeight="15" x14ac:dyDescent="0.25"/>
  <cols>
    <col min="1" max="1" width="32" customWidth="1"/>
    <col min="2" max="2" width="42" customWidth="1"/>
    <col min="3" max="3" width="16" customWidth="1"/>
    <col min="4" max="4" width="40" customWidth="1"/>
  </cols>
  <sheetData>
    <row r="1" spans="1:4" ht="27.75" customHeight="1" x14ac:dyDescent="0.25">
      <c r="A1" s="12" t="s">
        <v>607</v>
      </c>
      <c r="B1" s="12"/>
      <c r="C1" s="12"/>
      <c r="D1" s="12"/>
    </row>
    <row r="2" spans="1:4" ht="21.75" customHeight="1" x14ac:dyDescent="0.25">
      <c r="A2" s="80" t="s">
        <v>284</v>
      </c>
      <c r="B2" s="80" t="s">
        <v>525</v>
      </c>
      <c r="C2" s="80" t="s">
        <v>4</v>
      </c>
      <c r="D2" s="80" t="s">
        <v>5</v>
      </c>
    </row>
    <row r="3" spans="1:4" ht="54.75" customHeight="1" x14ac:dyDescent="0.25">
      <c r="A3" s="110" t="s">
        <v>346</v>
      </c>
      <c r="B3" s="91" t="s">
        <v>608</v>
      </c>
      <c r="C3" s="111" t="s">
        <v>8</v>
      </c>
      <c r="D3" s="91" t="s">
        <v>609</v>
      </c>
    </row>
    <row r="4" spans="1:4" ht="54.75" customHeight="1" x14ac:dyDescent="0.25">
      <c r="A4" s="108" t="s">
        <v>583</v>
      </c>
      <c r="B4" s="81" t="s">
        <v>610</v>
      </c>
      <c r="C4" s="109" t="s">
        <v>404</v>
      </c>
      <c r="D4" s="81" t="s">
        <v>611</v>
      </c>
    </row>
    <row r="5" spans="1:4" ht="54.75" customHeight="1" x14ac:dyDescent="0.25">
      <c r="A5" s="108" t="s">
        <v>612</v>
      </c>
      <c r="B5" s="81" t="s">
        <v>613</v>
      </c>
      <c r="C5" s="109" t="s">
        <v>404</v>
      </c>
      <c r="D5" s="81" t="s">
        <v>614</v>
      </c>
    </row>
  </sheetData>
  <mergeCells count="1">
    <mergeCell ref="A1:D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7"/>
  <sheetViews>
    <sheetView zoomScaleNormal="100" workbookViewId="0">
      <selection sqref="A1:I1"/>
    </sheetView>
  </sheetViews>
  <sheetFormatPr defaultColWidth="8.7109375" defaultRowHeight="15" x14ac:dyDescent="0.25"/>
  <cols>
    <col min="1" max="1" width="20" customWidth="1"/>
    <col min="2" max="2" width="36" customWidth="1"/>
    <col min="3" max="3" width="30" customWidth="1"/>
    <col min="4" max="4" width="7" customWidth="1"/>
    <col min="5" max="5" width="13" customWidth="1"/>
    <col min="6" max="6" width="14" customWidth="1"/>
    <col min="7" max="7" width="10" customWidth="1"/>
    <col min="8" max="8" width="14" customWidth="1"/>
    <col min="9" max="9" width="38" customWidth="1"/>
  </cols>
  <sheetData>
    <row r="1" spans="1:9" ht="27.75" customHeight="1" x14ac:dyDescent="0.25">
      <c r="A1" s="12" t="s">
        <v>615</v>
      </c>
      <c r="B1" s="12"/>
      <c r="C1" s="12"/>
      <c r="D1" s="12"/>
      <c r="E1" s="12"/>
      <c r="F1" s="12"/>
      <c r="G1" s="12"/>
      <c r="H1" s="12"/>
      <c r="I1" s="12"/>
    </row>
    <row r="2" spans="1:9" ht="19.5" customHeight="1" x14ac:dyDescent="0.25">
      <c r="A2" s="11" t="s">
        <v>616</v>
      </c>
      <c r="B2" s="11"/>
      <c r="C2" s="11"/>
      <c r="D2" s="11"/>
      <c r="E2" s="11"/>
      <c r="F2" s="11"/>
      <c r="G2" s="11"/>
      <c r="H2" s="11"/>
      <c r="I2" s="11"/>
    </row>
    <row r="3" spans="1:9" ht="24" customHeight="1" x14ac:dyDescent="0.25">
      <c r="A3" s="3" t="s">
        <v>617</v>
      </c>
      <c r="B3" s="3"/>
      <c r="C3" s="3"/>
      <c r="D3" s="2" t="s">
        <v>618</v>
      </c>
      <c r="E3" s="2"/>
      <c r="F3" s="2"/>
      <c r="G3" s="1" t="s">
        <v>619</v>
      </c>
      <c r="H3" s="1"/>
      <c r="I3" s="1"/>
    </row>
    <row r="4" spans="1:9" ht="30" customHeight="1" x14ac:dyDescent="0.25">
      <c r="A4" s="80" t="s">
        <v>60</v>
      </c>
      <c r="B4" s="80" t="s">
        <v>61</v>
      </c>
      <c r="C4" s="80" t="s">
        <v>620</v>
      </c>
      <c r="D4" s="80" t="s">
        <v>63</v>
      </c>
      <c r="E4" s="80" t="s">
        <v>621</v>
      </c>
      <c r="F4" s="80" t="s">
        <v>65</v>
      </c>
      <c r="G4" s="80" t="s">
        <v>622</v>
      </c>
      <c r="H4" s="80" t="s">
        <v>623</v>
      </c>
      <c r="I4" s="80" t="s">
        <v>624</v>
      </c>
    </row>
    <row r="5" spans="1:9" ht="43.5" customHeight="1" x14ac:dyDescent="0.25">
      <c r="A5" s="112" t="s">
        <v>68</v>
      </c>
      <c r="B5" s="113" t="s">
        <v>69</v>
      </c>
      <c r="C5" s="112" t="s">
        <v>625</v>
      </c>
      <c r="D5" s="114">
        <v>1</v>
      </c>
      <c r="E5" s="115">
        <v>95000</v>
      </c>
      <c r="F5" s="116">
        <v>95000</v>
      </c>
      <c r="G5" s="117" t="s">
        <v>626</v>
      </c>
      <c r="H5" s="118" t="s">
        <v>627</v>
      </c>
      <c r="I5" s="112" t="s">
        <v>628</v>
      </c>
    </row>
    <row r="6" spans="1:9" ht="43.5" customHeight="1" x14ac:dyDescent="0.25">
      <c r="A6" s="101" t="s">
        <v>68</v>
      </c>
      <c r="B6" s="119" t="s">
        <v>72</v>
      </c>
      <c r="C6" s="101" t="s">
        <v>629</v>
      </c>
      <c r="D6" s="103">
        <v>2</v>
      </c>
      <c r="E6" s="120">
        <v>65000</v>
      </c>
      <c r="F6" s="121">
        <v>130000</v>
      </c>
      <c r="G6" s="122" t="s">
        <v>626</v>
      </c>
      <c r="H6" s="123" t="s">
        <v>627</v>
      </c>
      <c r="I6" s="101" t="s">
        <v>628</v>
      </c>
    </row>
    <row r="7" spans="1:9" ht="43.5" customHeight="1" x14ac:dyDescent="0.25">
      <c r="A7" s="124" t="s">
        <v>68</v>
      </c>
      <c r="B7" s="125" t="s">
        <v>75</v>
      </c>
      <c r="C7" s="124" t="s">
        <v>630</v>
      </c>
      <c r="D7" s="126">
        <v>3</v>
      </c>
      <c r="E7" s="127">
        <v>22000</v>
      </c>
      <c r="F7" s="128">
        <v>66000</v>
      </c>
      <c r="G7" s="129" t="s">
        <v>631</v>
      </c>
      <c r="H7" s="130" t="s">
        <v>632</v>
      </c>
      <c r="I7" s="124" t="s">
        <v>633</v>
      </c>
    </row>
    <row r="8" spans="1:9" ht="43.5" customHeight="1" x14ac:dyDescent="0.25">
      <c r="A8" s="96" t="s">
        <v>68</v>
      </c>
      <c r="B8" s="131" t="s">
        <v>78</v>
      </c>
      <c r="C8" s="96" t="s">
        <v>79</v>
      </c>
      <c r="D8" s="98">
        <v>3</v>
      </c>
      <c r="E8" s="132">
        <v>6500</v>
      </c>
      <c r="F8" s="133">
        <v>19500</v>
      </c>
      <c r="G8" s="134" t="s">
        <v>631</v>
      </c>
      <c r="H8" s="135" t="s">
        <v>632</v>
      </c>
      <c r="I8" s="96" t="s">
        <v>634</v>
      </c>
    </row>
    <row r="9" spans="1:9" ht="43.5" customHeight="1" x14ac:dyDescent="0.25">
      <c r="A9" s="124" t="s">
        <v>68</v>
      </c>
      <c r="B9" s="125" t="s">
        <v>530</v>
      </c>
      <c r="C9" s="124" t="s">
        <v>82</v>
      </c>
      <c r="D9" s="126">
        <v>2</v>
      </c>
      <c r="E9" s="127">
        <v>8000</v>
      </c>
      <c r="F9" s="128">
        <v>16000</v>
      </c>
      <c r="G9" s="129" t="s">
        <v>631</v>
      </c>
      <c r="H9" s="130" t="s">
        <v>632</v>
      </c>
      <c r="I9" s="124" t="s">
        <v>635</v>
      </c>
    </row>
    <row r="10" spans="1:9" ht="43.5" customHeight="1" x14ac:dyDescent="0.25">
      <c r="A10" s="96" t="s">
        <v>68</v>
      </c>
      <c r="B10" s="131" t="s">
        <v>464</v>
      </c>
      <c r="C10" s="96" t="s">
        <v>636</v>
      </c>
      <c r="D10" s="98">
        <v>1</v>
      </c>
      <c r="E10" s="132">
        <v>45000</v>
      </c>
      <c r="F10" s="133">
        <v>45000</v>
      </c>
      <c r="G10" s="134" t="s">
        <v>631</v>
      </c>
      <c r="H10" s="135" t="s">
        <v>637</v>
      </c>
      <c r="I10" s="96" t="s">
        <v>638</v>
      </c>
    </row>
    <row r="11" spans="1:9" ht="43.5" customHeight="1" x14ac:dyDescent="0.25">
      <c r="A11" s="112" t="s">
        <v>91</v>
      </c>
      <c r="B11" s="113" t="s">
        <v>92</v>
      </c>
      <c r="C11" s="112" t="s">
        <v>467</v>
      </c>
      <c r="D11" s="114">
        <v>8</v>
      </c>
      <c r="E11" s="115">
        <v>35000</v>
      </c>
      <c r="F11" s="116">
        <v>280000</v>
      </c>
      <c r="G11" s="117" t="s">
        <v>626</v>
      </c>
      <c r="H11" s="136" t="s">
        <v>639</v>
      </c>
      <c r="I11" s="112" t="s">
        <v>640</v>
      </c>
    </row>
    <row r="12" spans="1:9" ht="43.5" customHeight="1" x14ac:dyDescent="0.25">
      <c r="A12" s="101" t="s">
        <v>99</v>
      </c>
      <c r="B12" s="119" t="s">
        <v>100</v>
      </c>
      <c r="C12" s="101" t="s">
        <v>641</v>
      </c>
      <c r="D12" s="103">
        <v>6</v>
      </c>
      <c r="E12" s="120">
        <v>24000</v>
      </c>
      <c r="F12" s="121">
        <v>144000</v>
      </c>
      <c r="G12" s="122" t="s">
        <v>626</v>
      </c>
      <c r="H12" s="137" t="s">
        <v>639</v>
      </c>
      <c r="I12" s="101" t="s">
        <v>640</v>
      </c>
    </row>
    <row r="13" spans="1:9" ht="43.5" customHeight="1" x14ac:dyDescent="0.25">
      <c r="A13" s="112" t="s">
        <v>106</v>
      </c>
      <c r="B13" s="113" t="s">
        <v>107</v>
      </c>
      <c r="C13" s="112" t="s">
        <v>642</v>
      </c>
      <c r="D13" s="114">
        <v>2</v>
      </c>
      <c r="E13" s="115">
        <v>22000</v>
      </c>
      <c r="F13" s="116">
        <v>44000</v>
      </c>
      <c r="G13" s="117" t="s">
        <v>626</v>
      </c>
      <c r="H13" s="136" t="s">
        <v>639</v>
      </c>
      <c r="I13" s="112" t="s">
        <v>640</v>
      </c>
    </row>
    <row r="14" spans="1:9" ht="43.5" customHeight="1" x14ac:dyDescent="0.25">
      <c r="A14" s="101" t="s">
        <v>106</v>
      </c>
      <c r="B14" s="119" t="s">
        <v>643</v>
      </c>
      <c r="C14" s="101" t="s">
        <v>644</v>
      </c>
      <c r="D14" s="103">
        <v>2</v>
      </c>
      <c r="E14" s="120">
        <v>35000</v>
      </c>
      <c r="F14" s="121">
        <v>70000</v>
      </c>
      <c r="G14" s="122" t="s">
        <v>626</v>
      </c>
      <c r="H14" s="137" t="s">
        <v>639</v>
      </c>
      <c r="I14" s="101" t="s">
        <v>645</v>
      </c>
    </row>
    <row r="15" spans="1:9" ht="43.5" customHeight="1" x14ac:dyDescent="0.25">
      <c r="A15" s="112" t="s">
        <v>125</v>
      </c>
      <c r="B15" s="113" t="s">
        <v>476</v>
      </c>
      <c r="C15" s="112" t="s">
        <v>646</v>
      </c>
      <c r="D15" s="114">
        <v>2</v>
      </c>
      <c r="E15" s="115">
        <v>185000</v>
      </c>
      <c r="F15" s="116">
        <v>370000</v>
      </c>
      <c r="G15" s="117" t="s">
        <v>626</v>
      </c>
      <c r="H15" s="118" t="s">
        <v>627</v>
      </c>
      <c r="I15" s="112" t="s">
        <v>647</v>
      </c>
    </row>
    <row r="16" spans="1:9" ht="43.5" customHeight="1" x14ac:dyDescent="0.25">
      <c r="A16" s="101" t="s">
        <v>139</v>
      </c>
      <c r="B16" s="119" t="s">
        <v>648</v>
      </c>
      <c r="C16" s="101" t="s">
        <v>649</v>
      </c>
      <c r="D16" s="103">
        <v>2</v>
      </c>
      <c r="E16" s="120">
        <v>185000</v>
      </c>
      <c r="F16" s="121">
        <v>370000</v>
      </c>
      <c r="G16" s="122" t="s">
        <v>626</v>
      </c>
      <c r="H16" s="123" t="s">
        <v>627</v>
      </c>
      <c r="I16" s="101" t="s">
        <v>647</v>
      </c>
    </row>
    <row r="17" spans="1:9" ht="43.5" customHeight="1" x14ac:dyDescent="0.25">
      <c r="A17" s="112" t="s">
        <v>582</v>
      </c>
      <c r="B17" s="113" t="s">
        <v>583</v>
      </c>
      <c r="C17" s="112" t="s">
        <v>650</v>
      </c>
      <c r="D17" s="114">
        <v>4</v>
      </c>
      <c r="E17" s="115">
        <v>20000</v>
      </c>
      <c r="F17" s="116">
        <v>80000</v>
      </c>
      <c r="G17" s="117" t="s">
        <v>626</v>
      </c>
      <c r="H17" s="118" t="s">
        <v>627</v>
      </c>
      <c r="I17" s="112" t="s">
        <v>651</v>
      </c>
    </row>
    <row r="18" spans="1:9" ht="43.5" customHeight="1" x14ac:dyDescent="0.25">
      <c r="A18" s="101" t="s">
        <v>147</v>
      </c>
      <c r="B18" s="119" t="s">
        <v>148</v>
      </c>
      <c r="C18" s="101" t="s">
        <v>149</v>
      </c>
      <c r="D18" s="103">
        <v>2</v>
      </c>
      <c r="E18" s="120">
        <v>42000</v>
      </c>
      <c r="F18" s="121">
        <v>84000</v>
      </c>
      <c r="G18" s="122" t="s">
        <v>626</v>
      </c>
      <c r="H18" s="137" t="s">
        <v>652</v>
      </c>
      <c r="I18" s="101" t="s">
        <v>653</v>
      </c>
    </row>
    <row r="19" spans="1:9" ht="43.5" customHeight="1" x14ac:dyDescent="0.25">
      <c r="A19" s="112" t="s">
        <v>147</v>
      </c>
      <c r="B19" s="113" t="s">
        <v>151</v>
      </c>
      <c r="C19" s="112" t="s">
        <v>654</v>
      </c>
      <c r="D19" s="114">
        <v>4</v>
      </c>
      <c r="E19" s="115">
        <v>28000</v>
      </c>
      <c r="F19" s="116">
        <v>112000</v>
      </c>
      <c r="G19" s="117" t="s">
        <v>626</v>
      </c>
      <c r="H19" s="136" t="s">
        <v>652</v>
      </c>
      <c r="I19" s="112" t="s">
        <v>655</v>
      </c>
    </row>
    <row r="20" spans="1:9" ht="43.5" customHeight="1" x14ac:dyDescent="0.25">
      <c r="A20" s="96" t="s">
        <v>147</v>
      </c>
      <c r="B20" s="131" t="s">
        <v>154</v>
      </c>
      <c r="C20" s="96" t="s">
        <v>155</v>
      </c>
      <c r="D20" s="98">
        <v>2</v>
      </c>
      <c r="E20" s="132">
        <v>35000</v>
      </c>
      <c r="F20" s="133">
        <v>70000</v>
      </c>
      <c r="G20" s="134" t="s">
        <v>631</v>
      </c>
      <c r="H20" s="138" t="s">
        <v>656</v>
      </c>
      <c r="I20" s="96" t="s">
        <v>657</v>
      </c>
    </row>
    <row r="21" spans="1:9" ht="43.5" customHeight="1" x14ac:dyDescent="0.25">
      <c r="A21" s="139" t="s">
        <v>161</v>
      </c>
      <c r="B21" s="140" t="s">
        <v>162</v>
      </c>
      <c r="C21" s="139" t="s">
        <v>658</v>
      </c>
      <c r="D21" s="141">
        <v>1</v>
      </c>
      <c r="E21" s="142">
        <v>95000</v>
      </c>
      <c r="F21" s="143">
        <v>95000</v>
      </c>
      <c r="G21" s="144" t="s">
        <v>659</v>
      </c>
      <c r="H21" s="145" t="s">
        <v>627</v>
      </c>
      <c r="I21" s="139" t="s">
        <v>660</v>
      </c>
    </row>
    <row r="22" spans="1:9" ht="43.5" customHeight="1" x14ac:dyDescent="0.25">
      <c r="A22" s="101" t="s">
        <v>354</v>
      </c>
      <c r="B22" s="119" t="s">
        <v>355</v>
      </c>
      <c r="C22" s="101" t="s">
        <v>661</v>
      </c>
      <c r="D22" s="103">
        <v>2</v>
      </c>
      <c r="E22" s="120">
        <v>38000</v>
      </c>
      <c r="F22" s="121">
        <v>76000</v>
      </c>
      <c r="G22" s="122" t="s">
        <v>626</v>
      </c>
      <c r="H22" s="137" t="s">
        <v>662</v>
      </c>
      <c r="I22" s="101" t="s">
        <v>663</v>
      </c>
    </row>
    <row r="23" spans="1:9" ht="43.5" customHeight="1" x14ac:dyDescent="0.25">
      <c r="A23" s="112" t="s">
        <v>177</v>
      </c>
      <c r="B23" s="113" t="s">
        <v>358</v>
      </c>
      <c r="C23" s="112" t="s">
        <v>664</v>
      </c>
      <c r="D23" s="114">
        <v>8</v>
      </c>
      <c r="E23" s="115">
        <v>28000</v>
      </c>
      <c r="F23" s="116">
        <v>224000</v>
      </c>
      <c r="G23" s="117" t="s">
        <v>626</v>
      </c>
      <c r="H23" s="136" t="s">
        <v>662</v>
      </c>
      <c r="I23" s="112" t="s">
        <v>663</v>
      </c>
    </row>
    <row r="24" spans="1:9" ht="43.5" customHeight="1" x14ac:dyDescent="0.25">
      <c r="A24" s="101" t="s">
        <v>181</v>
      </c>
      <c r="B24" s="119" t="s">
        <v>182</v>
      </c>
      <c r="C24" s="101" t="s">
        <v>183</v>
      </c>
      <c r="D24" s="103">
        <v>2</v>
      </c>
      <c r="E24" s="120">
        <v>12000</v>
      </c>
      <c r="F24" s="121">
        <v>24000</v>
      </c>
      <c r="G24" s="122" t="s">
        <v>626</v>
      </c>
      <c r="H24" s="137" t="s">
        <v>662</v>
      </c>
      <c r="I24" s="101" t="s">
        <v>663</v>
      </c>
    </row>
    <row r="25" spans="1:9" ht="43.5" customHeight="1" x14ac:dyDescent="0.25">
      <c r="A25" s="112" t="s">
        <v>185</v>
      </c>
      <c r="B25" s="113" t="s">
        <v>362</v>
      </c>
      <c r="C25" s="112" t="s">
        <v>665</v>
      </c>
      <c r="D25" s="114">
        <v>2</v>
      </c>
      <c r="E25" s="115">
        <v>28000</v>
      </c>
      <c r="F25" s="116">
        <v>56000</v>
      </c>
      <c r="G25" s="117" t="s">
        <v>626</v>
      </c>
      <c r="H25" s="136" t="s">
        <v>662</v>
      </c>
      <c r="I25" s="112" t="s">
        <v>663</v>
      </c>
    </row>
    <row r="26" spans="1:9" ht="43.5" customHeight="1" x14ac:dyDescent="0.25">
      <c r="A26" s="101" t="s">
        <v>192</v>
      </c>
      <c r="B26" s="119" t="s">
        <v>193</v>
      </c>
      <c r="C26" s="101" t="s">
        <v>666</v>
      </c>
      <c r="D26" s="103">
        <v>8</v>
      </c>
      <c r="E26" s="120">
        <v>2800</v>
      </c>
      <c r="F26" s="121">
        <v>22400</v>
      </c>
      <c r="G26" s="122" t="s">
        <v>626</v>
      </c>
      <c r="H26" s="137" t="s">
        <v>667</v>
      </c>
      <c r="I26" s="101" t="s">
        <v>668</v>
      </c>
    </row>
    <row r="27" spans="1:9" ht="43.5" customHeight="1" x14ac:dyDescent="0.25">
      <c r="A27" s="112" t="s">
        <v>197</v>
      </c>
      <c r="B27" s="113" t="s">
        <v>198</v>
      </c>
      <c r="C27" s="112" t="s">
        <v>669</v>
      </c>
      <c r="D27" s="114">
        <v>4</v>
      </c>
      <c r="E27" s="115">
        <v>45000</v>
      </c>
      <c r="F27" s="116">
        <v>180000</v>
      </c>
      <c r="G27" s="117" t="s">
        <v>626</v>
      </c>
      <c r="H27" s="136" t="s">
        <v>662</v>
      </c>
      <c r="I27" s="112" t="s">
        <v>663</v>
      </c>
    </row>
    <row r="28" spans="1:9" ht="43.5" customHeight="1" x14ac:dyDescent="0.25">
      <c r="A28" s="101" t="s">
        <v>202</v>
      </c>
      <c r="B28" s="119" t="s">
        <v>368</v>
      </c>
      <c r="C28" s="101" t="s">
        <v>670</v>
      </c>
      <c r="D28" s="103">
        <v>2</v>
      </c>
      <c r="E28" s="120">
        <v>28000</v>
      </c>
      <c r="F28" s="121">
        <v>56000</v>
      </c>
      <c r="G28" s="122" t="s">
        <v>626</v>
      </c>
      <c r="H28" s="137" t="s">
        <v>671</v>
      </c>
      <c r="I28" s="101" t="s">
        <v>672</v>
      </c>
    </row>
    <row r="29" spans="1:9" ht="43.5" customHeight="1" x14ac:dyDescent="0.25">
      <c r="A29" s="124" t="s">
        <v>207</v>
      </c>
      <c r="B29" s="125" t="s">
        <v>208</v>
      </c>
      <c r="C29" s="124" t="s">
        <v>673</v>
      </c>
      <c r="D29" s="126">
        <v>1</v>
      </c>
      <c r="E29" s="127">
        <v>120000</v>
      </c>
      <c r="F29" s="128">
        <v>120000</v>
      </c>
      <c r="G29" s="129" t="s">
        <v>631</v>
      </c>
      <c r="H29" s="146" t="s">
        <v>674</v>
      </c>
      <c r="I29" s="124" t="s">
        <v>675</v>
      </c>
    </row>
    <row r="30" spans="1:9" ht="43.5" customHeight="1" x14ac:dyDescent="0.25">
      <c r="A30" s="96" t="s">
        <v>207</v>
      </c>
      <c r="B30" s="131" t="s">
        <v>211</v>
      </c>
      <c r="C30" s="96" t="s">
        <v>676</v>
      </c>
      <c r="D30" s="98">
        <v>1</v>
      </c>
      <c r="E30" s="132">
        <v>79200</v>
      </c>
      <c r="F30" s="133">
        <v>79200</v>
      </c>
      <c r="G30" s="134" t="s">
        <v>631</v>
      </c>
      <c r="H30" s="138" t="s">
        <v>674</v>
      </c>
      <c r="I30" s="96" t="s">
        <v>677</v>
      </c>
    </row>
    <row r="31" spans="1:9" ht="43.5" customHeight="1" x14ac:dyDescent="0.25">
      <c r="A31" s="124" t="s">
        <v>214</v>
      </c>
      <c r="B31" s="125" t="s">
        <v>500</v>
      </c>
      <c r="C31" s="124" t="s">
        <v>678</v>
      </c>
      <c r="D31" s="126">
        <v>1</v>
      </c>
      <c r="E31" s="127">
        <v>35000</v>
      </c>
      <c r="F31" s="128">
        <v>35000</v>
      </c>
      <c r="G31" s="129" t="s">
        <v>631</v>
      </c>
      <c r="H31" s="130" t="s">
        <v>632</v>
      </c>
      <c r="I31" s="124" t="s">
        <v>679</v>
      </c>
    </row>
    <row r="32" spans="1:9" ht="43.5" customHeight="1" x14ac:dyDescent="0.25">
      <c r="A32" s="101" t="s">
        <v>218</v>
      </c>
      <c r="B32" s="119" t="s">
        <v>219</v>
      </c>
      <c r="C32" s="101" t="s">
        <v>680</v>
      </c>
      <c r="D32" s="103">
        <v>1</v>
      </c>
      <c r="E32" s="120">
        <v>75000</v>
      </c>
      <c r="F32" s="121">
        <v>75000</v>
      </c>
      <c r="G32" s="122" t="s">
        <v>626</v>
      </c>
      <c r="H32" s="123" t="s">
        <v>627</v>
      </c>
      <c r="I32" s="101" t="s">
        <v>681</v>
      </c>
    </row>
    <row r="33" spans="1:9" ht="43.5" customHeight="1" x14ac:dyDescent="0.25">
      <c r="A33" s="112" t="s">
        <v>218</v>
      </c>
      <c r="B33" s="113" t="s">
        <v>222</v>
      </c>
      <c r="C33" s="112" t="s">
        <v>682</v>
      </c>
      <c r="D33" s="114">
        <v>4</v>
      </c>
      <c r="E33" s="115">
        <v>8500</v>
      </c>
      <c r="F33" s="116">
        <v>34000</v>
      </c>
      <c r="G33" s="117" t="s">
        <v>626</v>
      </c>
      <c r="H33" s="118" t="s">
        <v>627</v>
      </c>
      <c r="I33" s="112" t="s">
        <v>683</v>
      </c>
    </row>
    <row r="34" spans="1:9" ht="43.5" customHeight="1" x14ac:dyDescent="0.25">
      <c r="A34" s="101" t="s">
        <v>218</v>
      </c>
      <c r="B34" s="119" t="s">
        <v>225</v>
      </c>
      <c r="C34" s="101" t="s">
        <v>684</v>
      </c>
      <c r="D34" s="103">
        <v>200</v>
      </c>
      <c r="E34" s="120">
        <v>85</v>
      </c>
      <c r="F34" s="121">
        <v>17000</v>
      </c>
      <c r="G34" s="122" t="s">
        <v>626</v>
      </c>
      <c r="H34" s="137" t="s">
        <v>685</v>
      </c>
      <c r="I34" s="101" t="s">
        <v>686</v>
      </c>
    </row>
    <row r="35" spans="1:9" ht="43.5" customHeight="1" x14ac:dyDescent="0.25">
      <c r="A35" s="124" t="s">
        <v>229</v>
      </c>
      <c r="B35" s="125" t="s">
        <v>230</v>
      </c>
      <c r="C35" s="124" t="s">
        <v>687</v>
      </c>
      <c r="D35" s="126">
        <v>40</v>
      </c>
      <c r="E35" s="127">
        <v>5950</v>
      </c>
      <c r="F35" s="128">
        <v>238000</v>
      </c>
      <c r="G35" s="129" t="s">
        <v>631</v>
      </c>
      <c r="H35" s="146" t="s">
        <v>688</v>
      </c>
      <c r="I35" s="124" t="s">
        <v>689</v>
      </c>
    </row>
    <row r="36" spans="1:9" ht="43.5" customHeight="1" x14ac:dyDescent="0.25">
      <c r="A36" s="96" t="s">
        <v>229</v>
      </c>
      <c r="B36" s="131" t="s">
        <v>384</v>
      </c>
      <c r="C36" s="96" t="s">
        <v>690</v>
      </c>
      <c r="D36" s="98">
        <v>40</v>
      </c>
      <c r="E36" s="132">
        <v>2995</v>
      </c>
      <c r="F36" s="133">
        <v>119800</v>
      </c>
      <c r="G36" s="134" t="s">
        <v>631</v>
      </c>
      <c r="H36" s="138" t="s">
        <v>688</v>
      </c>
      <c r="I36" s="96" t="s">
        <v>691</v>
      </c>
    </row>
    <row r="37" spans="1:9" ht="43.5" customHeight="1" x14ac:dyDescent="0.25">
      <c r="A37" s="124" t="s">
        <v>229</v>
      </c>
      <c r="B37" s="125" t="s">
        <v>387</v>
      </c>
      <c r="C37" s="124" t="s">
        <v>237</v>
      </c>
      <c r="D37" s="126">
        <v>2</v>
      </c>
      <c r="E37" s="127">
        <v>8500</v>
      </c>
      <c r="F37" s="128">
        <v>17000</v>
      </c>
      <c r="G37" s="129" t="s">
        <v>631</v>
      </c>
      <c r="H37" s="146" t="s">
        <v>688</v>
      </c>
      <c r="I37" s="124" t="s">
        <v>691</v>
      </c>
    </row>
    <row r="38" spans="1:9" ht="43.5" customHeight="1" x14ac:dyDescent="0.25">
      <c r="A38" s="96" t="s">
        <v>240</v>
      </c>
      <c r="B38" s="131" t="s">
        <v>244</v>
      </c>
      <c r="C38" s="96" t="s">
        <v>692</v>
      </c>
      <c r="D38" s="98">
        <v>1</v>
      </c>
      <c r="E38" s="132">
        <v>18000</v>
      </c>
      <c r="F38" s="133">
        <v>18000</v>
      </c>
      <c r="G38" s="134" t="s">
        <v>631</v>
      </c>
      <c r="H38" s="135" t="s">
        <v>632</v>
      </c>
      <c r="I38" s="96" t="s">
        <v>693</v>
      </c>
    </row>
    <row r="39" spans="1:9" ht="43.5" customHeight="1" x14ac:dyDescent="0.25">
      <c r="A39" s="112" t="s">
        <v>248</v>
      </c>
      <c r="B39" s="113" t="s">
        <v>249</v>
      </c>
      <c r="C39" s="112" t="s">
        <v>250</v>
      </c>
      <c r="D39" s="114">
        <v>8</v>
      </c>
      <c r="E39" s="115">
        <v>3000</v>
      </c>
      <c r="F39" s="116">
        <v>24000</v>
      </c>
      <c r="G39" s="117" t="s">
        <v>626</v>
      </c>
      <c r="H39" s="136" t="s">
        <v>694</v>
      </c>
      <c r="I39" s="112" t="s">
        <v>695</v>
      </c>
    </row>
    <row r="40" spans="1:9" ht="43.5" customHeight="1" x14ac:dyDescent="0.25">
      <c r="A40" s="101" t="s">
        <v>253</v>
      </c>
      <c r="B40" s="119" t="s">
        <v>254</v>
      </c>
      <c r="C40" s="101" t="s">
        <v>696</v>
      </c>
      <c r="D40" s="103">
        <v>140</v>
      </c>
      <c r="E40" s="120">
        <v>95</v>
      </c>
      <c r="F40" s="121">
        <v>13300</v>
      </c>
      <c r="G40" s="122" t="s">
        <v>626</v>
      </c>
      <c r="H40" s="137" t="s">
        <v>697</v>
      </c>
      <c r="I40" s="101" t="s">
        <v>698</v>
      </c>
    </row>
    <row r="41" spans="1:9" ht="43.5" customHeight="1" x14ac:dyDescent="0.25">
      <c r="A41" s="112" t="s">
        <v>253</v>
      </c>
      <c r="B41" s="113" t="s">
        <v>257</v>
      </c>
      <c r="C41" s="112" t="s">
        <v>699</v>
      </c>
      <c r="D41" s="114">
        <v>200</v>
      </c>
      <c r="E41" s="115">
        <v>18</v>
      </c>
      <c r="F41" s="116">
        <v>3600</v>
      </c>
      <c r="G41" s="117" t="s">
        <v>626</v>
      </c>
      <c r="H41" s="136" t="s">
        <v>697</v>
      </c>
      <c r="I41" s="112" t="s">
        <v>698</v>
      </c>
    </row>
    <row r="42" spans="1:9" ht="43.5" customHeight="1" x14ac:dyDescent="0.25">
      <c r="A42" s="101" t="s">
        <v>253</v>
      </c>
      <c r="B42" s="119" t="s">
        <v>260</v>
      </c>
      <c r="C42" s="101" t="s">
        <v>261</v>
      </c>
      <c r="D42" s="103">
        <v>8</v>
      </c>
      <c r="E42" s="120">
        <v>450</v>
      </c>
      <c r="F42" s="121">
        <v>3600</v>
      </c>
      <c r="G42" s="122" t="s">
        <v>626</v>
      </c>
      <c r="H42" s="137" t="s">
        <v>697</v>
      </c>
      <c r="I42" s="101" t="s">
        <v>700</v>
      </c>
    </row>
    <row r="43" spans="1:9" ht="43.5" customHeight="1" x14ac:dyDescent="0.25">
      <c r="A43" s="112" t="s">
        <v>253</v>
      </c>
      <c r="B43" s="113" t="s">
        <v>263</v>
      </c>
      <c r="C43" s="112" t="s">
        <v>701</v>
      </c>
      <c r="D43" s="114">
        <v>64</v>
      </c>
      <c r="E43" s="115">
        <v>85</v>
      </c>
      <c r="F43" s="116">
        <v>5440</v>
      </c>
      <c r="G43" s="117" t="s">
        <v>626</v>
      </c>
      <c r="H43" s="136" t="s">
        <v>685</v>
      </c>
      <c r="I43" s="112" t="s">
        <v>702</v>
      </c>
    </row>
    <row r="44" spans="1:9" ht="43.5" customHeight="1" x14ac:dyDescent="0.25">
      <c r="A44" s="101" t="s">
        <v>266</v>
      </c>
      <c r="B44" s="119" t="s">
        <v>267</v>
      </c>
      <c r="C44" s="101" t="s">
        <v>268</v>
      </c>
      <c r="D44" s="103">
        <v>160</v>
      </c>
      <c r="E44" s="120">
        <v>420</v>
      </c>
      <c r="F44" s="121">
        <v>67200</v>
      </c>
      <c r="G44" s="122" t="s">
        <v>626</v>
      </c>
      <c r="H44" s="137" t="s">
        <v>662</v>
      </c>
      <c r="I44" s="101" t="s">
        <v>703</v>
      </c>
    </row>
    <row r="45" spans="1:9" ht="43.5" customHeight="1" x14ac:dyDescent="0.25">
      <c r="A45" s="112" t="s">
        <v>266</v>
      </c>
      <c r="B45" s="113" t="s">
        <v>270</v>
      </c>
      <c r="C45" s="112" t="s">
        <v>271</v>
      </c>
      <c r="D45" s="114">
        <v>100</v>
      </c>
      <c r="E45" s="115">
        <v>280</v>
      </c>
      <c r="F45" s="116">
        <v>28000</v>
      </c>
      <c r="G45" s="117" t="s">
        <v>626</v>
      </c>
      <c r="H45" s="136" t="s">
        <v>662</v>
      </c>
      <c r="I45" s="112" t="s">
        <v>703</v>
      </c>
    </row>
    <row r="46" spans="1:9" ht="43.5" customHeight="1" x14ac:dyDescent="0.25">
      <c r="A46" s="101" t="s">
        <v>266</v>
      </c>
      <c r="B46" s="119" t="s">
        <v>602</v>
      </c>
      <c r="C46" s="101" t="s">
        <v>704</v>
      </c>
      <c r="D46" s="103">
        <v>64</v>
      </c>
      <c r="E46" s="120">
        <v>185</v>
      </c>
      <c r="F46" s="121">
        <v>11840</v>
      </c>
      <c r="G46" s="122" t="s">
        <v>626</v>
      </c>
      <c r="H46" s="123" t="s">
        <v>627</v>
      </c>
      <c r="I46" s="101" t="s">
        <v>705</v>
      </c>
    </row>
    <row r="47" spans="1:9" ht="21.75" customHeight="1" x14ac:dyDescent="0.25">
      <c r="A47" s="154" t="s">
        <v>706</v>
      </c>
      <c r="B47" s="154"/>
      <c r="C47" s="154"/>
      <c r="D47" s="154"/>
      <c r="E47" s="154"/>
      <c r="F47" s="147">
        <v>2700380</v>
      </c>
      <c r="G47" s="155" t="s">
        <v>707</v>
      </c>
      <c r="H47" s="155"/>
      <c r="I47" s="155"/>
    </row>
    <row r="48" spans="1:9" ht="21.75" customHeight="1" x14ac:dyDescent="0.25">
      <c r="A48" s="156" t="s">
        <v>708</v>
      </c>
      <c r="B48" s="156"/>
      <c r="C48" s="156"/>
      <c r="D48" s="156"/>
      <c r="E48" s="156"/>
      <c r="F48" s="148">
        <v>843500</v>
      </c>
      <c r="G48" s="157" t="s">
        <v>709</v>
      </c>
      <c r="H48" s="157"/>
      <c r="I48" s="157"/>
    </row>
    <row r="49" spans="1:9" ht="21.75" customHeight="1" x14ac:dyDescent="0.25">
      <c r="A49" s="158" t="s">
        <v>710</v>
      </c>
      <c r="B49" s="158"/>
      <c r="C49" s="158"/>
      <c r="D49" s="158"/>
      <c r="E49" s="158"/>
      <c r="F49" s="149">
        <v>95000</v>
      </c>
      <c r="G49" s="159" t="s">
        <v>711</v>
      </c>
      <c r="H49" s="159"/>
      <c r="I49" s="159"/>
    </row>
    <row r="50" spans="1:9" ht="27.75" customHeight="1" x14ac:dyDescent="0.25">
      <c r="A50" s="160" t="s">
        <v>712</v>
      </c>
      <c r="B50" s="160"/>
      <c r="C50" s="160"/>
      <c r="D50" s="160"/>
      <c r="E50" s="160"/>
      <c r="F50" s="150">
        <v>3638880</v>
      </c>
      <c r="G50" s="161"/>
      <c r="H50" s="161"/>
      <c r="I50" s="161"/>
    </row>
    <row r="51" spans="1:9" x14ac:dyDescent="0.25">
      <c r="A51" s="151"/>
      <c r="B51" s="151"/>
      <c r="C51" s="151"/>
      <c r="D51" s="151"/>
      <c r="E51" s="151"/>
      <c r="F51" s="151"/>
      <c r="G51" s="151"/>
      <c r="H51" s="151"/>
      <c r="I51" s="151"/>
    </row>
    <row r="52" spans="1:9" ht="15" customHeight="1" x14ac:dyDescent="0.25">
      <c r="A52" s="162" t="s">
        <v>713</v>
      </c>
      <c r="B52" s="162"/>
      <c r="C52" s="162"/>
      <c r="D52" s="162"/>
      <c r="E52" s="162"/>
      <c r="F52" s="162"/>
      <c r="G52" s="162"/>
      <c r="H52" s="162"/>
      <c r="I52" s="162"/>
    </row>
    <row r="53" spans="1:9" ht="54.75" customHeight="1" x14ac:dyDescent="0.25">
      <c r="A53" s="152" t="s">
        <v>714</v>
      </c>
      <c r="B53" s="163" t="s">
        <v>715</v>
      </c>
      <c r="C53" s="163"/>
      <c r="D53" s="163"/>
      <c r="E53" s="163"/>
      <c r="F53" s="163"/>
      <c r="G53" s="163"/>
      <c r="H53" s="163"/>
      <c r="I53" s="163"/>
    </row>
    <row r="54" spans="1:9" ht="54.75" customHeight="1" x14ac:dyDescent="0.25">
      <c r="A54" s="153" t="s">
        <v>716</v>
      </c>
      <c r="B54" s="164" t="s">
        <v>717</v>
      </c>
      <c r="C54" s="164"/>
      <c r="D54" s="164"/>
      <c r="E54" s="164"/>
      <c r="F54" s="164"/>
      <c r="G54" s="164"/>
      <c r="H54" s="164"/>
      <c r="I54" s="164"/>
    </row>
    <row r="55" spans="1:9" ht="54.75" customHeight="1" x14ac:dyDescent="0.25">
      <c r="A55" s="152" t="s">
        <v>718</v>
      </c>
      <c r="B55" s="163" t="s">
        <v>719</v>
      </c>
      <c r="C55" s="163"/>
      <c r="D55" s="163"/>
      <c r="E55" s="163"/>
      <c r="F55" s="163"/>
      <c r="G55" s="163"/>
      <c r="H55" s="163"/>
      <c r="I55" s="163"/>
    </row>
    <row r="56" spans="1:9" ht="54.75" customHeight="1" x14ac:dyDescent="0.25">
      <c r="A56" s="153" t="s">
        <v>720</v>
      </c>
      <c r="B56" s="164" t="s">
        <v>721</v>
      </c>
      <c r="C56" s="164"/>
      <c r="D56" s="164"/>
      <c r="E56" s="164"/>
      <c r="F56" s="164"/>
      <c r="G56" s="164"/>
      <c r="H56" s="164"/>
      <c r="I56" s="164"/>
    </row>
    <row r="57" spans="1:9" ht="54.75" customHeight="1" x14ac:dyDescent="0.25">
      <c r="A57" s="153" t="s">
        <v>722</v>
      </c>
      <c r="B57" s="164" t="s">
        <v>723</v>
      </c>
      <c r="C57" s="164"/>
      <c r="D57" s="164"/>
      <c r="E57" s="164"/>
      <c r="F57" s="164"/>
      <c r="G57" s="164"/>
      <c r="H57" s="164"/>
      <c r="I57" s="164"/>
    </row>
  </sheetData>
  <mergeCells count="19">
    <mergeCell ref="B55:I55"/>
    <mergeCell ref="B56:I56"/>
    <mergeCell ref="B57:I57"/>
    <mergeCell ref="A50:E50"/>
    <mergeCell ref="G50:I50"/>
    <mergeCell ref="A52:I52"/>
    <mergeCell ref="B53:I53"/>
    <mergeCell ref="B54:I54"/>
    <mergeCell ref="A47:E47"/>
    <mergeCell ref="G47:I47"/>
    <mergeCell ref="A48:E48"/>
    <mergeCell ref="G48:I48"/>
    <mergeCell ref="A49:E49"/>
    <mergeCell ref="G49:I49"/>
    <mergeCell ref="A1:I1"/>
    <mergeCell ref="A2:I2"/>
    <mergeCell ref="A3:C3"/>
    <mergeCell ref="D3:F3"/>
    <mergeCell ref="G3:I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Rev2 Change Log</vt:lpstr>
      <vt:lpstr>BOM Rev2</vt:lpstr>
      <vt:lpstr>Assumptions &amp; Open Items</vt:lpstr>
      <vt:lpstr>BOM Rev3</vt:lpstr>
      <vt:lpstr>Right-Sizing Summary</vt:lpstr>
      <vt:lpstr>BOM Rev4</vt:lpstr>
      <vt:lpstr>Rev4 Change Log</vt:lpstr>
      <vt:lpstr>BOM Rev5</vt:lpstr>
      <vt:lpstr>Rev5 Change Log</vt:lpstr>
      <vt:lpstr>HW vs SW 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Winters (US)</cp:lastModifiedBy>
  <cp:revision>0</cp:revision>
  <dcterms:created xsi:type="dcterms:W3CDTF">2026-05-26T18:17:14Z</dcterms:created>
  <dcterms:modified xsi:type="dcterms:W3CDTF">2026-06-22T16:25:44Z</dcterms:modified>
  <dc:language>en-US</dc:language>
</cp:coreProperties>
</file>