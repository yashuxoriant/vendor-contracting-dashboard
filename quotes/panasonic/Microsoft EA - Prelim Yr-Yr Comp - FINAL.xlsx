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erson-my.sharepoint.com/personal/holly_stanfield_emerson_com/Documents/Desktop/"/>
    </mc:Choice>
  </mc:AlternateContent>
  <xr:revisionPtr revIDLastSave="88" documentId="8_{325BBE2A-E6A5-4AA7-891E-D6A2A524DFF8}" xr6:coauthVersionLast="47" xr6:coauthVersionMax="47" xr10:uidLastSave="{7A43D914-70D9-47C4-855F-0168528BE1D5}"/>
  <bookViews>
    <workbookView xWindow="-28910" yWindow="-2230" windowWidth="29020" windowHeight="15820" xr2:uid="{00000000-000D-0000-FFFF-FFFF00000000}"/>
  </bookViews>
  <sheets>
    <sheet name="Yr-Yr Comp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3" l="1"/>
  <c r="J32" i="3"/>
  <c r="H32" i="3"/>
  <c r="F32" i="3"/>
  <c r="D32" i="3"/>
  <c r="N32" i="3" l="1"/>
  <c r="N36" i="3" s="1"/>
</calcChain>
</file>

<file path=xl/sharedStrings.xml><?xml version="1.0" encoding="utf-8"?>
<sst xmlns="http://schemas.openxmlformats.org/spreadsheetml/2006/main" count="49" uniqueCount="40">
  <si>
    <t>Year 1</t>
  </si>
  <si>
    <t>Year 2</t>
  </si>
  <si>
    <t>Year 3</t>
  </si>
  <si>
    <t>Year 4</t>
  </si>
  <si>
    <t>Year 5</t>
  </si>
  <si>
    <t>Product Description</t>
  </si>
  <si>
    <t>Quantity</t>
  </si>
  <si>
    <t>Cost per Mo</t>
  </si>
  <si>
    <t>Total Annual Cost</t>
  </si>
  <si>
    <t>M365 E5 Unified Sub Per User</t>
  </si>
  <si>
    <t>Visio P1 Sub Per User</t>
  </si>
  <si>
    <t>Visio P2 Sub Per User</t>
  </si>
  <si>
    <t>W365 Ent 4vCPU/16GB/128GB Sub Per User</t>
  </si>
  <si>
    <t>Azure Monetary Commitment Provision</t>
  </si>
  <si>
    <t>D365 Guides Device Sub Per Device</t>
  </si>
  <si>
    <t>D365 Remote Assist Device Sub Per Device</t>
  </si>
  <si>
    <t>Defender Threat Intelligence Sub Per User</t>
  </si>
  <si>
    <t>Defender Vulnerability AO Sub Per User</t>
  </si>
  <si>
    <t>Exchange Online P2 Sub Per User</t>
  </si>
  <si>
    <t>Permissions Management Sub</t>
  </si>
  <si>
    <t>Power Apps Plan Sub Per User</t>
  </si>
  <si>
    <r>
      <rPr>
        <sz val="9"/>
        <rFont val="Arial"/>
        <family val="2"/>
      </rPr>
      <t>Power Automate Attended RPA USL Sub Per
User</t>
    </r>
  </si>
  <si>
    <t>Power Automate Sub Per User</t>
  </si>
  <si>
    <t>Power BI Premium P1 Sub</t>
  </si>
  <si>
    <t>Power BI Premium P2 Sub</t>
  </si>
  <si>
    <t>Project Online Essentials Sub Per User</t>
  </si>
  <si>
    <t>Project P1 Sub Per User</t>
  </si>
  <si>
    <t>Project P3 Sub Per User</t>
  </si>
  <si>
    <t>Project P5 Sub Per User</t>
  </si>
  <si>
    <t>Teams AC with Dial Out US/CA Sub Add-on</t>
  </si>
  <si>
    <t>Teams Domestic Calling Plan Sub Per User</t>
  </si>
  <si>
    <r>
      <rPr>
        <sz val="9"/>
        <rFont val="Arial"/>
        <family val="2"/>
      </rPr>
      <t>Teams International Calling Plan Sub Per
User</t>
    </r>
  </si>
  <si>
    <t>Teams Rooms Pro Sub Per Device</t>
  </si>
  <si>
    <t>Teams Shared Devices Sub Per Device</t>
  </si>
  <si>
    <t>Workload Identities &amp; Permissions Management Sub</t>
  </si>
  <si>
    <t>Workload Identities Premium Sub</t>
  </si>
  <si>
    <t>Enterprise Agreement (60 months)</t>
  </si>
  <si>
    <t>Azure 'Commit to Consume' (36 months)</t>
  </si>
  <si>
    <t>Unified Support (12 months)</t>
  </si>
  <si>
    <t>Microsoft 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</si>
</sst>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sz val="9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3" fontId="4" fillId="0" borderId="2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0" fontId="3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2" fontId="4" fillId="2" borderId="7" xfId="0" applyNumberFormat="1" applyFont="1" applyFill="1" applyBorder="1" applyAlignment="1">
      <alignment horizontal="right" vertical="top" shrinkToFit="1"/>
    </xf>
    <xf numFmtId="4" fontId="4" fillId="2" borderId="8" xfId="0" applyNumberFormat="1" applyFont="1" applyFill="1" applyBorder="1" applyAlignment="1">
      <alignment horizontal="right" vertical="top" shrinkToFit="1"/>
    </xf>
    <xf numFmtId="2" fontId="4" fillId="2" borderId="8" xfId="0" applyNumberFormat="1" applyFont="1" applyFill="1" applyBorder="1" applyAlignment="1">
      <alignment horizontal="right" vertical="top" shrinkToFit="1"/>
    </xf>
    <xf numFmtId="4" fontId="4" fillId="2" borderId="7" xfId="0" applyNumberFormat="1" applyFont="1" applyFill="1" applyBorder="1" applyAlignment="1">
      <alignment horizontal="right" vertical="top" shrinkToFit="1"/>
    </xf>
    <xf numFmtId="2" fontId="4" fillId="2" borderId="9" xfId="0" applyNumberFormat="1" applyFont="1" applyFill="1" applyBorder="1" applyAlignment="1">
      <alignment horizontal="right" vertical="top" shrinkToFit="1"/>
    </xf>
    <xf numFmtId="4" fontId="4" fillId="2" borderId="10" xfId="0" applyNumberFormat="1" applyFont="1" applyFill="1" applyBorder="1" applyAlignment="1">
      <alignment horizontal="right" vertical="top" shrinkToFit="1"/>
    </xf>
    <xf numFmtId="0" fontId="3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2" fontId="4" fillId="3" borderId="7" xfId="0" applyNumberFormat="1" applyFont="1" applyFill="1" applyBorder="1" applyAlignment="1">
      <alignment horizontal="right" vertical="top" shrinkToFit="1"/>
    </xf>
    <xf numFmtId="4" fontId="4" fillId="3" borderId="8" xfId="0" applyNumberFormat="1" applyFont="1" applyFill="1" applyBorder="1" applyAlignment="1">
      <alignment horizontal="right" vertical="top" shrinkToFit="1"/>
    </xf>
    <xf numFmtId="2" fontId="4" fillId="3" borderId="8" xfId="0" applyNumberFormat="1" applyFont="1" applyFill="1" applyBorder="1" applyAlignment="1">
      <alignment horizontal="right" vertical="top" shrinkToFit="1"/>
    </xf>
    <xf numFmtId="4" fontId="4" fillId="3" borderId="7" xfId="0" applyNumberFormat="1" applyFont="1" applyFill="1" applyBorder="1" applyAlignment="1">
      <alignment horizontal="right" vertical="top" shrinkToFit="1"/>
    </xf>
    <xf numFmtId="2" fontId="4" fillId="3" borderId="9" xfId="0" applyNumberFormat="1" applyFont="1" applyFill="1" applyBorder="1" applyAlignment="1">
      <alignment horizontal="right" vertical="top" shrinkToFit="1"/>
    </xf>
    <xf numFmtId="4" fontId="4" fillId="3" borderId="10" xfId="0" applyNumberFormat="1" applyFont="1" applyFill="1" applyBorder="1" applyAlignment="1">
      <alignment horizontal="right" vertical="top" shrinkToFit="1"/>
    </xf>
    <xf numFmtId="0" fontId="3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2" fontId="4" fillId="4" borderId="7" xfId="0" applyNumberFormat="1" applyFont="1" applyFill="1" applyBorder="1" applyAlignment="1">
      <alignment horizontal="right" vertical="top" shrinkToFit="1"/>
    </xf>
    <xf numFmtId="4" fontId="4" fillId="4" borderId="8" xfId="0" applyNumberFormat="1" applyFont="1" applyFill="1" applyBorder="1" applyAlignment="1">
      <alignment horizontal="right" vertical="top" shrinkToFit="1"/>
    </xf>
    <xf numFmtId="2" fontId="4" fillId="4" borderId="8" xfId="0" applyNumberFormat="1" applyFont="1" applyFill="1" applyBorder="1" applyAlignment="1">
      <alignment horizontal="right" vertical="top" shrinkToFit="1"/>
    </xf>
    <xf numFmtId="4" fontId="4" fillId="4" borderId="7" xfId="0" applyNumberFormat="1" applyFont="1" applyFill="1" applyBorder="1" applyAlignment="1">
      <alignment horizontal="right" vertical="top" shrinkToFit="1"/>
    </xf>
    <xf numFmtId="2" fontId="4" fillId="4" borderId="9" xfId="0" applyNumberFormat="1" applyFont="1" applyFill="1" applyBorder="1" applyAlignment="1">
      <alignment horizontal="right" vertical="top" shrinkToFit="1"/>
    </xf>
    <xf numFmtId="4" fontId="4" fillId="4" borderId="10" xfId="0" applyNumberFormat="1" applyFont="1" applyFill="1" applyBorder="1" applyAlignment="1">
      <alignment horizontal="right" vertical="top" shrinkToFit="1"/>
    </xf>
    <xf numFmtId="0" fontId="3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right" vertical="top" shrinkToFit="1"/>
    </xf>
    <xf numFmtId="4" fontId="4" fillId="5" borderId="8" xfId="0" applyNumberFormat="1" applyFont="1" applyFill="1" applyBorder="1" applyAlignment="1">
      <alignment horizontal="right" vertical="top" shrinkToFit="1"/>
    </xf>
    <xf numFmtId="2" fontId="4" fillId="5" borderId="8" xfId="0" applyNumberFormat="1" applyFont="1" applyFill="1" applyBorder="1" applyAlignment="1">
      <alignment horizontal="right" vertical="top" shrinkToFit="1"/>
    </xf>
    <xf numFmtId="4" fontId="4" fillId="5" borderId="7" xfId="0" applyNumberFormat="1" applyFont="1" applyFill="1" applyBorder="1" applyAlignment="1">
      <alignment horizontal="right" vertical="top" shrinkToFit="1"/>
    </xf>
    <xf numFmtId="2" fontId="4" fillId="5" borderId="9" xfId="0" applyNumberFormat="1" applyFont="1" applyFill="1" applyBorder="1" applyAlignment="1">
      <alignment horizontal="right" vertical="top" shrinkToFit="1"/>
    </xf>
    <xf numFmtId="4" fontId="4" fillId="5" borderId="10" xfId="0" applyNumberFormat="1" applyFont="1" applyFill="1" applyBorder="1" applyAlignment="1">
      <alignment horizontal="right" vertical="top" shrinkToFit="1"/>
    </xf>
    <xf numFmtId="0" fontId="3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2" fontId="4" fillId="6" borderId="7" xfId="0" applyNumberFormat="1" applyFont="1" applyFill="1" applyBorder="1" applyAlignment="1">
      <alignment horizontal="right" vertical="top" shrinkToFit="1"/>
    </xf>
    <xf numFmtId="4" fontId="4" fillId="6" borderId="8" xfId="0" applyNumberFormat="1" applyFont="1" applyFill="1" applyBorder="1" applyAlignment="1">
      <alignment horizontal="right" vertical="top" shrinkToFit="1"/>
    </xf>
    <xf numFmtId="2" fontId="4" fillId="6" borderId="8" xfId="0" applyNumberFormat="1" applyFont="1" applyFill="1" applyBorder="1" applyAlignment="1">
      <alignment horizontal="right" vertical="top" shrinkToFit="1"/>
    </xf>
    <xf numFmtId="4" fontId="4" fillId="6" borderId="7" xfId="0" applyNumberFormat="1" applyFont="1" applyFill="1" applyBorder="1" applyAlignment="1">
      <alignment horizontal="right" vertical="top" shrinkToFit="1"/>
    </xf>
    <xf numFmtId="2" fontId="4" fillId="6" borderId="9" xfId="0" applyNumberFormat="1" applyFont="1" applyFill="1" applyBorder="1" applyAlignment="1">
      <alignment horizontal="right" vertical="top" shrinkToFit="1"/>
    </xf>
    <xf numFmtId="4" fontId="4" fillId="6" borderId="10" xfId="0" applyNumberFormat="1" applyFont="1" applyFill="1" applyBorder="1" applyAlignment="1">
      <alignment horizontal="right" vertical="top" shrinkToFit="1"/>
    </xf>
    <xf numFmtId="0" fontId="4" fillId="0" borderId="0" xfId="0" applyFont="1" applyAlignment="1">
      <alignment horizontal="right" vertical="top"/>
    </xf>
    <xf numFmtId="4" fontId="3" fillId="2" borderId="4" xfId="0" applyNumberFormat="1" applyFont="1" applyFill="1" applyBorder="1" applyAlignment="1">
      <alignment horizontal="right" vertical="top"/>
    </xf>
    <xf numFmtId="4" fontId="3" fillId="3" borderId="4" xfId="0" applyNumberFormat="1" applyFont="1" applyFill="1" applyBorder="1" applyAlignment="1">
      <alignment horizontal="right" vertical="top"/>
    </xf>
    <xf numFmtId="4" fontId="3" fillId="4" borderId="4" xfId="0" applyNumberFormat="1" applyFont="1" applyFill="1" applyBorder="1" applyAlignment="1">
      <alignment horizontal="right" vertical="top"/>
    </xf>
    <xf numFmtId="4" fontId="3" fillId="5" borderId="4" xfId="0" applyNumberFormat="1" applyFont="1" applyFill="1" applyBorder="1" applyAlignment="1">
      <alignment horizontal="right" vertical="top"/>
    </xf>
    <xf numFmtId="4" fontId="3" fillId="6" borderId="4" xfId="0" applyNumberFormat="1" applyFont="1" applyFill="1" applyBorder="1" applyAlignment="1">
      <alignment horizontal="right" vertical="top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4" fontId="5" fillId="8" borderId="4" xfId="0" applyNumberFormat="1" applyFont="1" applyFill="1" applyBorder="1" applyAlignment="1">
      <alignment horizontal="right" vertical="top"/>
    </xf>
    <xf numFmtId="3" fontId="4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4" fontId="5" fillId="9" borderId="4" xfId="0" applyNumberFormat="1" applyFont="1" applyFill="1" applyBorder="1" applyAlignment="1">
      <alignment horizontal="right" vertical="top"/>
    </xf>
    <xf numFmtId="0" fontId="3" fillId="6" borderId="5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" fillId="5" borderId="5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tabSelected="1" workbookViewId="0">
      <selection activeCell="A3" sqref="A3"/>
    </sheetView>
  </sheetViews>
  <sheetFormatPr defaultColWidth="8.83203125" defaultRowHeight="11.45"/>
  <cols>
    <col min="1" max="1" width="43.33203125" style="1" bestFit="1" customWidth="1"/>
    <col min="2" max="2" width="10.83203125" style="4" customWidth="1"/>
    <col min="3" max="3" width="12" style="1" bestFit="1" customWidth="1"/>
    <col min="4" max="4" width="20.5" style="1" bestFit="1" customWidth="1"/>
    <col min="5" max="5" width="12" style="1" bestFit="1" customWidth="1"/>
    <col min="6" max="6" width="20.5" style="1" bestFit="1" customWidth="1"/>
    <col min="7" max="7" width="12" style="1" bestFit="1" customWidth="1"/>
    <col min="8" max="8" width="20.5" style="1" bestFit="1" customWidth="1"/>
    <col min="9" max="9" width="12" style="1" bestFit="1" customWidth="1"/>
    <col min="10" max="10" width="20.5" style="1" bestFit="1" customWidth="1"/>
    <col min="11" max="11" width="12" style="1" bestFit="1" customWidth="1"/>
    <col min="12" max="12" width="20.5" style="1" bestFit="1" customWidth="1"/>
    <col min="13" max="13" width="8.83203125" style="1"/>
    <col min="14" max="14" width="18.5" style="1" customWidth="1"/>
    <col min="15" max="15" width="37.1640625" style="1" customWidth="1"/>
    <col min="16" max="16384" width="8.83203125" style="1"/>
  </cols>
  <sheetData>
    <row r="1" spans="1:14">
      <c r="A1" s="62"/>
      <c r="B1" s="63"/>
      <c r="C1" s="64" t="s">
        <v>0</v>
      </c>
      <c r="D1" s="65"/>
      <c r="E1" s="66" t="s">
        <v>1</v>
      </c>
      <c r="F1" s="67"/>
      <c r="G1" s="68" t="s">
        <v>2</v>
      </c>
      <c r="H1" s="69"/>
      <c r="I1" s="70" t="s">
        <v>3</v>
      </c>
      <c r="J1" s="71"/>
      <c r="K1" s="60" t="s">
        <v>4</v>
      </c>
      <c r="L1" s="61"/>
    </row>
    <row r="2" spans="1:14" ht="18.600000000000001" customHeight="1">
      <c r="A2" s="53" t="s">
        <v>5</v>
      </c>
      <c r="B2" s="54" t="s">
        <v>6</v>
      </c>
      <c r="C2" s="7" t="s">
        <v>7</v>
      </c>
      <c r="D2" s="8" t="s">
        <v>8</v>
      </c>
      <c r="E2" s="15" t="s">
        <v>7</v>
      </c>
      <c r="F2" s="16" t="s">
        <v>8</v>
      </c>
      <c r="G2" s="23" t="s">
        <v>7</v>
      </c>
      <c r="H2" s="24" t="s">
        <v>8</v>
      </c>
      <c r="I2" s="31" t="s">
        <v>7</v>
      </c>
      <c r="J2" s="32" t="s">
        <v>8</v>
      </c>
      <c r="K2" s="39" t="s">
        <v>7</v>
      </c>
      <c r="L2" s="40" t="s">
        <v>8</v>
      </c>
    </row>
    <row r="3" spans="1:14" ht="20.100000000000001" customHeight="1">
      <c r="A3" s="2" t="s">
        <v>9</v>
      </c>
      <c r="B3" s="5">
        <v>9300</v>
      </c>
      <c r="C3" s="9">
        <v>31.36</v>
      </c>
      <c r="D3" s="10">
        <v>3499776</v>
      </c>
      <c r="E3" s="17">
        <v>36.58</v>
      </c>
      <c r="F3" s="18">
        <v>4082328</v>
      </c>
      <c r="G3" s="25">
        <v>41.81</v>
      </c>
      <c r="H3" s="26">
        <v>4665996</v>
      </c>
      <c r="I3" s="33">
        <v>41.81</v>
      </c>
      <c r="J3" s="34">
        <v>4665996</v>
      </c>
      <c r="K3" s="41">
        <v>41.81</v>
      </c>
      <c r="L3" s="42">
        <v>4665996</v>
      </c>
    </row>
    <row r="4" spans="1:14" ht="20.100000000000001" customHeight="1">
      <c r="A4" s="2" t="s">
        <v>10</v>
      </c>
      <c r="B4" s="6">
        <v>50</v>
      </c>
      <c r="C4" s="9">
        <v>3.87</v>
      </c>
      <c r="D4" s="10">
        <v>2322</v>
      </c>
      <c r="E4" s="17">
        <v>3.87</v>
      </c>
      <c r="F4" s="18">
        <v>2322</v>
      </c>
      <c r="G4" s="25">
        <v>3.87</v>
      </c>
      <c r="H4" s="26">
        <v>2322</v>
      </c>
      <c r="I4" s="33">
        <v>3.87</v>
      </c>
      <c r="J4" s="34">
        <v>2322</v>
      </c>
      <c r="K4" s="41">
        <v>3.87</v>
      </c>
      <c r="L4" s="42">
        <v>2322</v>
      </c>
    </row>
    <row r="5" spans="1:14" ht="20.100000000000001" customHeight="1">
      <c r="A5" s="2" t="s">
        <v>11</v>
      </c>
      <c r="B5" s="6">
        <v>710</v>
      </c>
      <c r="C5" s="9">
        <v>10.44</v>
      </c>
      <c r="D5" s="10">
        <v>88948.800000000003</v>
      </c>
      <c r="E5" s="17">
        <v>10.44</v>
      </c>
      <c r="F5" s="18">
        <v>88948.800000000003</v>
      </c>
      <c r="G5" s="25">
        <v>10.44</v>
      </c>
      <c r="H5" s="26">
        <v>88948.800000000003</v>
      </c>
      <c r="I5" s="33">
        <v>10.44</v>
      </c>
      <c r="J5" s="34">
        <v>88948.800000000003</v>
      </c>
      <c r="K5" s="41">
        <v>10.44</v>
      </c>
      <c r="L5" s="42">
        <v>88948.800000000003</v>
      </c>
    </row>
    <row r="6" spans="1:14" ht="20.100000000000001" customHeight="1">
      <c r="A6" s="2" t="s">
        <v>12</v>
      </c>
      <c r="B6" s="6">
        <v>500</v>
      </c>
      <c r="C6" s="9">
        <v>59.4</v>
      </c>
      <c r="D6" s="10">
        <v>356400</v>
      </c>
      <c r="E6" s="17">
        <v>59.4</v>
      </c>
      <c r="F6" s="18">
        <v>356400</v>
      </c>
      <c r="G6" s="25">
        <v>59.4</v>
      </c>
      <c r="H6" s="26">
        <v>356400</v>
      </c>
      <c r="I6" s="33">
        <v>59.4</v>
      </c>
      <c r="J6" s="34">
        <v>356400</v>
      </c>
      <c r="K6" s="41">
        <v>59.4</v>
      </c>
      <c r="L6" s="42">
        <v>356400</v>
      </c>
    </row>
    <row r="7" spans="1:14" ht="20.100000000000001" customHeight="1">
      <c r="A7" s="2" t="s">
        <v>13</v>
      </c>
      <c r="B7" s="6">
        <v>1</v>
      </c>
      <c r="C7" s="9">
        <v>0</v>
      </c>
      <c r="D7" s="11">
        <v>0</v>
      </c>
      <c r="E7" s="17">
        <v>0</v>
      </c>
      <c r="F7" s="19">
        <v>0</v>
      </c>
      <c r="G7" s="25">
        <v>0</v>
      </c>
      <c r="H7" s="27">
        <v>0</v>
      </c>
      <c r="I7" s="33">
        <v>0</v>
      </c>
      <c r="J7" s="35">
        <v>0</v>
      </c>
      <c r="K7" s="41">
        <v>0</v>
      </c>
      <c r="L7" s="43">
        <v>0</v>
      </c>
    </row>
    <row r="8" spans="1:14" ht="20.100000000000001" customHeight="1">
      <c r="A8" s="2" t="s">
        <v>14</v>
      </c>
      <c r="B8" s="6">
        <v>2</v>
      </c>
      <c r="C8" s="9">
        <v>502.77</v>
      </c>
      <c r="D8" s="10">
        <v>12066.48</v>
      </c>
      <c r="E8" s="17">
        <v>502.77</v>
      </c>
      <c r="F8" s="18">
        <v>12066.48</v>
      </c>
      <c r="G8" s="25">
        <v>502.77</v>
      </c>
      <c r="H8" s="26">
        <v>12066.48</v>
      </c>
      <c r="I8" s="33">
        <v>502.77</v>
      </c>
      <c r="J8" s="34">
        <v>12066.48</v>
      </c>
      <c r="K8" s="41">
        <v>502.77</v>
      </c>
      <c r="L8" s="42">
        <v>12066.48</v>
      </c>
    </row>
    <row r="9" spans="1:14" ht="20.100000000000001" customHeight="1">
      <c r="A9" s="2" t="s">
        <v>15</v>
      </c>
      <c r="B9" s="6">
        <v>6</v>
      </c>
      <c r="C9" s="9">
        <v>502.77</v>
      </c>
      <c r="D9" s="10">
        <v>36199.440000000002</v>
      </c>
      <c r="E9" s="17">
        <v>502.77</v>
      </c>
      <c r="F9" s="18">
        <v>36199.440000000002</v>
      </c>
      <c r="G9" s="25">
        <v>502.77</v>
      </c>
      <c r="H9" s="26">
        <v>36199.440000000002</v>
      </c>
      <c r="I9" s="33">
        <v>502.77</v>
      </c>
      <c r="J9" s="34">
        <v>36199.440000000002</v>
      </c>
      <c r="K9" s="41">
        <v>502.77</v>
      </c>
      <c r="L9" s="42">
        <v>36199.440000000002</v>
      </c>
    </row>
    <row r="10" spans="1:14" ht="20.100000000000001" customHeight="1">
      <c r="A10" s="2" t="s">
        <v>16</v>
      </c>
      <c r="B10" s="6">
        <v>1</v>
      </c>
      <c r="C10" s="12">
        <v>0</v>
      </c>
      <c r="D10" s="10">
        <v>0</v>
      </c>
      <c r="E10" s="20">
        <v>0</v>
      </c>
      <c r="F10" s="18">
        <v>0</v>
      </c>
      <c r="G10" s="28">
        <v>0</v>
      </c>
      <c r="H10" s="26">
        <v>0</v>
      </c>
      <c r="I10" s="36">
        <v>0</v>
      </c>
      <c r="J10" s="34">
        <v>0</v>
      </c>
      <c r="K10" s="44">
        <v>0</v>
      </c>
      <c r="L10" s="42">
        <v>0</v>
      </c>
    </row>
    <row r="11" spans="1:14" ht="20.100000000000001" customHeight="1">
      <c r="A11" s="2" t="s">
        <v>16</v>
      </c>
      <c r="B11" s="6">
        <v>2</v>
      </c>
      <c r="C11" s="12">
        <v>1611.46</v>
      </c>
      <c r="D11" s="10">
        <v>38675.040000000001</v>
      </c>
      <c r="E11" s="20">
        <v>1611.46</v>
      </c>
      <c r="F11" s="18">
        <v>38675.040000000001</v>
      </c>
      <c r="G11" s="28">
        <v>1611.46</v>
      </c>
      <c r="H11" s="26">
        <v>38675.040000000001</v>
      </c>
      <c r="I11" s="36">
        <v>1611.46</v>
      </c>
      <c r="J11" s="34">
        <v>38675.040000000001</v>
      </c>
      <c r="K11" s="44">
        <v>1611.46</v>
      </c>
      <c r="L11" s="42">
        <v>38675.040000000001</v>
      </c>
    </row>
    <row r="12" spans="1:14" ht="20.100000000000001" customHeight="1">
      <c r="A12" s="2" t="s">
        <v>17</v>
      </c>
      <c r="B12" s="5">
        <v>9300</v>
      </c>
      <c r="C12" s="9">
        <v>1.4</v>
      </c>
      <c r="D12" s="10">
        <v>156240</v>
      </c>
      <c r="E12" s="17">
        <v>1.4</v>
      </c>
      <c r="F12" s="18">
        <v>156240</v>
      </c>
      <c r="G12" s="25">
        <v>1.4</v>
      </c>
      <c r="H12" s="26">
        <v>156240</v>
      </c>
      <c r="I12" s="33">
        <v>1.4</v>
      </c>
      <c r="J12" s="34">
        <v>156240</v>
      </c>
      <c r="K12" s="41">
        <v>1.4</v>
      </c>
      <c r="L12" s="42">
        <v>156240</v>
      </c>
    </row>
    <row r="13" spans="1:14" ht="20.100000000000001" customHeight="1">
      <c r="A13" s="2" t="s">
        <v>18</v>
      </c>
      <c r="B13" s="6">
        <v>175</v>
      </c>
      <c r="C13" s="9">
        <v>6.19</v>
      </c>
      <c r="D13" s="10">
        <v>12999</v>
      </c>
      <c r="E13" s="17">
        <v>6.19</v>
      </c>
      <c r="F13" s="18">
        <v>12999</v>
      </c>
      <c r="G13" s="25">
        <v>6.19</v>
      </c>
      <c r="H13" s="26">
        <v>12999</v>
      </c>
      <c r="I13" s="33">
        <v>6.19</v>
      </c>
      <c r="J13" s="34">
        <v>12999</v>
      </c>
      <c r="K13" s="41">
        <v>6.19</v>
      </c>
      <c r="L13" s="42">
        <v>12999</v>
      </c>
    </row>
    <row r="14" spans="1:14" ht="20.100000000000001" customHeight="1">
      <c r="A14" s="2" t="s">
        <v>19</v>
      </c>
      <c r="B14" s="5">
        <v>4452</v>
      </c>
      <c r="C14" s="9">
        <v>4.03</v>
      </c>
      <c r="D14" s="10">
        <v>215298.72</v>
      </c>
      <c r="E14" s="17">
        <v>4.03</v>
      </c>
      <c r="F14" s="18">
        <v>215298.72</v>
      </c>
      <c r="G14" s="25">
        <v>4.03</v>
      </c>
      <c r="H14" s="26">
        <v>215298.72</v>
      </c>
      <c r="I14" s="33">
        <v>4.03</v>
      </c>
      <c r="J14" s="34">
        <v>215298.72</v>
      </c>
      <c r="K14" s="41">
        <v>4.03</v>
      </c>
      <c r="L14" s="42">
        <v>215298.72</v>
      </c>
      <c r="N14" s="56"/>
    </row>
    <row r="15" spans="1:14" ht="20.100000000000001" customHeight="1">
      <c r="A15" s="2" t="s">
        <v>20</v>
      </c>
      <c r="B15" s="6">
        <v>10</v>
      </c>
      <c r="C15" s="9">
        <v>18.2</v>
      </c>
      <c r="D15" s="10">
        <v>2184</v>
      </c>
      <c r="E15" s="17">
        <v>18.2</v>
      </c>
      <c r="F15" s="18">
        <v>2184</v>
      </c>
      <c r="G15" s="25">
        <v>18.2</v>
      </c>
      <c r="H15" s="26">
        <v>2184</v>
      </c>
      <c r="I15" s="33">
        <v>18.2</v>
      </c>
      <c r="J15" s="34">
        <v>2184</v>
      </c>
      <c r="K15" s="41">
        <v>18.2</v>
      </c>
      <c r="L15" s="42">
        <v>2184</v>
      </c>
    </row>
    <row r="16" spans="1:14" ht="20.100000000000001" customHeight="1">
      <c r="A16" s="3" t="s">
        <v>21</v>
      </c>
      <c r="B16" s="6">
        <v>1</v>
      </c>
      <c r="C16" s="9">
        <v>36.4</v>
      </c>
      <c r="D16" s="11">
        <v>436.8</v>
      </c>
      <c r="E16" s="17">
        <v>36.4</v>
      </c>
      <c r="F16" s="19">
        <v>436.8</v>
      </c>
      <c r="G16" s="25">
        <v>36.4</v>
      </c>
      <c r="H16" s="27">
        <v>436.8</v>
      </c>
      <c r="I16" s="33">
        <v>36.4</v>
      </c>
      <c r="J16" s="35">
        <v>436.8</v>
      </c>
      <c r="K16" s="41">
        <v>36.4</v>
      </c>
      <c r="L16" s="43">
        <v>436.8</v>
      </c>
    </row>
    <row r="17" spans="1:15" ht="20.100000000000001" customHeight="1">
      <c r="A17" s="2" t="s">
        <v>22</v>
      </c>
      <c r="B17" s="6">
        <v>10</v>
      </c>
      <c r="C17" s="9">
        <v>12.29</v>
      </c>
      <c r="D17" s="10">
        <v>1474.8</v>
      </c>
      <c r="E17" s="17">
        <v>12.29</v>
      </c>
      <c r="F17" s="18">
        <v>1474.8</v>
      </c>
      <c r="G17" s="25">
        <v>12.29</v>
      </c>
      <c r="H17" s="26">
        <v>1474.8</v>
      </c>
      <c r="I17" s="33">
        <v>12.29</v>
      </c>
      <c r="J17" s="34">
        <v>1474.8</v>
      </c>
      <c r="K17" s="41">
        <v>12.29</v>
      </c>
      <c r="L17" s="42">
        <v>1474.8</v>
      </c>
    </row>
    <row r="18" spans="1:15" ht="20.100000000000001" customHeight="1">
      <c r="A18" s="2" t="s">
        <v>23</v>
      </c>
      <c r="B18" s="6">
        <v>2</v>
      </c>
      <c r="C18" s="12">
        <v>3477.27</v>
      </c>
      <c r="D18" s="10">
        <v>83454.48</v>
      </c>
      <c r="E18" s="20">
        <v>3477.27</v>
      </c>
      <c r="F18" s="18">
        <v>83454.48</v>
      </c>
      <c r="G18" s="28">
        <v>3477.27</v>
      </c>
      <c r="H18" s="26">
        <v>83454.48</v>
      </c>
      <c r="I18" s="36">
        <v>3477.27</v>
      </c>
      <c r="J18" s="34">
        <v>83454.48</v>
      </c>
      <c r="K18" s="44">
        <v>3477.27</v>
      </c>
      <c r="L18" s="42">
        <v>83454.48</v>
      </c>
    </row>
    <row r="19" spans="1:15" ht="20.100000000000001" customHeight="1">
      <c r="A19" s="2" t="s">
        <v>24</v>
      </c>
      <c r="B19" s="6">
        <v>2</v>
      </c>
      <c r="C19" s="12">
        <v>6958.02</v>
      </c>
      <c r="D19" s="10">
        <v>166992.48000000001</v>
      </c>
      <c r="E19" s="20">
        <v>6958.02</v>
      </c>
      <c r="F19" s="18">
        <v>166992.48000000001</v>
      </c>
      <c r="G19" s="28">
        <v>6958.02</v>
      </c>
      <c r="H19" s="26">
        <v>166992.48000000001</v>
      </c>
      <c r="I19" s="36">
        <v>6958.02</v>
      </c>
      <c r="J19" s="34">
        <v>166992.48000000001</v>
      </c>
      <c r="K19" s="44">
        <v>6958.02</v>
      </c>
      <c r="L19" s="42">
        <v>166992.48000000001</v>
      </c>
    </row>
    <row r="20" spans="1:15" ht="20.100000000000001" customHeight="1">
      <c r="A20" s="2" t="s">
        <v>25</v>
      </c>
      <c r="B20" s="6">
        <v>25</v>
      </c>
      <c r="C20" s="9">
        <v>5.41</v>
      </c>
      <c r="D20" s="10">
        <v>1623</v>
      </c>
      <c r="E20" s="17">
        <v>5.41</v>
      </c>
      <c r="F20" s="18">
        <v>1623</v>
      </c>
      <c r="G20" s="25">
        <v>5.41</v>
      </c>
      <c r="H20" s="26">
        <v>1623</v>
      </c>
      <c r="I20" s="33">
        <v>5.41</v>
      </c>
      <c r="J20" s="34">
        <v>1623</v>
      </c>
      <c r="K20" s="41">
        <v>5.41</v>
      </c>
      <c r="L20" s="42">
        <v>1623</v>
      </c>
    </row>
    <row r="21" spans="1:15" ht="20.100000000000001" customHeight="1">
      <c r="A21" s="2" t="s">
        <v>26</v>
      </c>
      <c r="B21" s="6">
        <v>25</v>
      </c>
      <c r="C21" s="9">
        <v>7.73</v>
      </c>
      <c r="D21" s="10">
        <v>2319</v>
      </c>
      <c r="E21" s="17">
        <v>7.73</v>
      </c>
      <c r="F21" s="18">
        <v>2319</v>
      </c>
      <c r="G21" s="25">
        <v>7.73</v>
      </c>
      <c r="H21" s="26">
        <v>2319</v>
      </c>
      <c r="I21" s="33">
        <v>7.73</v>
      </c>
      <c r="J21" s="34">
        <v>2319</v>
      </c>
      <c r="K21" s="41">
        <v>7.73</v>
      </c>
      <c r="L21" s="42">
        <v>2319</v>
      </c>
    </row>
    <row r="22" spans="1:15" ht="20.100000000000001" customHeight="1">
      <c r="A22" s="2" t="s">
        <v>27</v>
      </c>
      <c r="B22" s="6">
        <v>375</v>
      </c>
      <c r="C22" s="9">
        <v>20.88</v>
      </c>
      <c r="D22" s="10">
        <v>93960</v>
      </c>
      <c r="E22" s="17">
        <v>20.88</v>
      </c>
      <c r="F22" s="18">
        <v>93960</v>
      </c>
      <c r="G22" s="25">
        <v>20.88</v>
      </c>
      <c r="H22" s="26">
        <v>93960</v>
      </c>
      <c r="I22" s="33">
        <v>20.88</v>
      </c>
      <c r="J22" s="34">
        <v>93960</v>
      </c>
      <c r="K22" s="41">
        <v>20.88</v>
      </c>
      <c r="L22" s="42">
        <v>93960</v>
      </c>
    </row>
    <row r="23" spans="1:15" ht="20.100000000000001" customHeight="1">
      <c r="A23" s="2" t="s">
        <v>28</v>
      </c>
      <c r="B23" s="6">
        <v>20</v>
      </c>
      <c r="C23" s="9">
        <v>42.54</v>
      </c>
      <c r="D23" s="10">
        <v>10209.6</v>
      </c>
      <c r="E23" s="17">
        <v>42.54</v>
      </c>
      <c r="F23" s="18">
        <v>10209.6</v>
      </c>
      <c r="G23" s="25">
        <v>42.54</v>
      </c>
      <c r="H23" s="26">
        <v>10209.6</v>
      </c>
      <c r="I23" s="33">
        <v>42.54</v>
      </c>
      <c r="J23" s="34">
        <v>10209.6</v>
      </c>
      <c r="K23" s="41">
        <v>42.54</v>
      </c>
      <c r="L23" s="42">
        <v>10209.6</v>
      </c>
    </row>
    <row r="24" spans="1:15" ht="20.100000000000001" customHeight="1">
      <c r="A24" s="2" t="s">
        <v>29</v>
      </c>
      <c r="B24" s="5">
        <v>9300</v>
      </c>
      <c r="C24" s="9">
        <v>0</v>
      </c>
      <c r="D24" s="11">
        <v>0</v>
      </c>
      <c r="E24" s="17">
        <v>0</v>
      </c>
      <c r="F24" s="19">
        <v>0</v>
      </c>
      <c r="G24" s="25">
        <v>0</v>
      </c>
      <c r="H24" s="27">
        <v>0</v>
      </c>
      <c r="I24" s="33">
        <v>0</v>
      </c>
      <c r="J24" s="35">
        <v>0</v>
      </c>
      <c r="K24" s="41">
        <v>0</v>
      </c>
      <c r="L24" s="43">
        <v>0</v>
      </c>
    </row>
    <row r="25" spans="1:15" ht="20.100000000000001" customHeight="1">
      <c r="A25" s="2" t="s">
        <v>30</v>
      </c>
      <c r="B25" s="5">
        <v>9300</v>
      </c>
      <c r="C25" s="9">
        <v>1.82</v>
      </c>
      <c r="D25" s="10">
        <v>203112</v>
      </c>
      <c r="E25" s="17">
        <v>1.82</v>
      </c>
      <c r="F25" s="18">
        <v>203112</v>
      </c>
      <c r="G25" s="25">
        <v>1.82</v>
      </c>
      <c r="H25" s="26">
        <v>203112</v>
      </c>
      <c r="I25" s="33">
        <v>1.82</v>
      </c>
      <c r="J25" s="34">
        <v>203112</v>
      </c>
      <c r="K25" s="41">
        <v>1.82</v>
      </c>
      <c r="L25" s="42">
        <v>203112</v>
      </c>
    </row>
    <row r="26" spans="1:15" ht="20.100000000000001" customHeight="1">
      <c r="A26" s="3" t="s">
        <v>31</v>
      </c>
      <c r="B26" s="6">
        <v>500</v>
      </c>
      <c r="C26" s="9">
        <v>21.84</v>
      </c>
      <c r="D26" s="10">
        <v>131040</v>
      </c>
      <c r="E26" s="17">
        <v>21.84</v>
      </c>
      <c r="F26" s="18">
        <v>131040</v>
      </c>
      <c r="G26" s="25">
        <v>21.84</v>
      </c>
      <c r="H26" s="26">
        <v>131040</v>
      </c>
      <c r="I26" s="33">
        <v>21.84</v>
      </c>
      <c r="J26" s="34">
        <v>131040</v>
      </c>
      <c r="K26" s="41">
        <v>21.84</v>
      </c>
      <c r="L26" s="42">
        <v>131040</v>
      </c>
    </row>
    <row r="27" spans="1:15" ht="20.100000000000001" customHeight="1">
      <c r="A27" s="2" t="s">
        <v>32</v>
      </c>
      <c r="B27" s="6">
        <v>100</v>
      </c>
      <c r="C27" s="9">
        <v>32.76</v>
      </c>
      <c r="D27" s="10">
        <v>39312</v>
      </c>
      <c r="E27" s="17">
        <v>32.76</v>
      </c>
      <c r="F27" s="18">
        <v>39312</v>
      </c>
      <c r="G27" s="25">
        <v>32.76</v>
      </c>
      <c r="H27" s="26">
        <v>39312</v>
      </c>
      <c r="I27" s="33">
        <v>32.76</v>
      </c>
      <c r="J27" s="34">
        <v>39312</v>
      </c>
      <c r="K27" s="41">
        <v>32.76</v>
      </c>
      <c r="L27" s="42">
        <v>39312</v>
      </c>
    </row>
    <row r="28" spans="1:15" ht="20.100000000000001" customHeight="1">
      <c r="A28" s="2" t="s">
        <v>33</v>
      </c>
      <c r="B28" s="6">
        <v>97</v>
      </c>
      <c r="C28" s="9">
        <v>5.57</v>
      </c>
      <c r="D28" s="10">
        <v>6483.48</v>
      </c>
      <c r="E28" s="17">
        <v>5.57</v>
      </c>
      <c r="F28" s="18">
        <v>6483.48</v>
      </c>
      <c r="G28" s="25">
        <v>5.57</v>
      </c>
      <c r="H28" s="26">
        <v>6483.48</v>
      </c>
      <c r="I28" s="33">
        <v>5.57</v>
      </c>
      <c r="J28" s="34">
        <v>6483.48</v>
      </c>
      <c r="K28" s="41">
        <v>5.57</v>
      </c>
      <c r="L28" s="42">
        <v>6483.48</v>
      </c>
    </row>
    <row r="29" spans="1:15" ht="20.100000000000001" customHeight="1">
      <c r="A29" s="2" t="s">
        <v>34</v>
      </c>
      <c r="B29" s="6">
        <v>200</v>
      </c>
      <c r="C29" s="9">
        <v>0</v>
      </c>
      <c r="D29" s="11">
        <v>0</v>
      </c>
      <c r="E29" s="17">
        <v>0</v>
      </c>
      <c r="F29" s="19">
        <v>0</v>
      </c>
      <c r="G29" s="25">
        <v>0</v>
      </c>
      <c r="H29" s="27">
        <v>0</v>
      </c>
      <c r="I29" s="33">
        <v>0</v>
      </c>
      <c r="J29" s="35">
        <v>0</v>
      </c>
      <c r="K29" s="41">
        <v>0</v>
      </c>
      <c r="L29" s="43">
        <v>0</v>
      </c>
    </row>
    <row r="30" spans="1:15" ht="20.100000000000001" customHeight="1" thickBot="1">
      <c r="A30" s="2" t="s">
        <v>35</v>
      </c>
      <c r="B30" s="5">
        <v>2611</v>
      </c>
      <c r="C30" s="13">
        <v>1.74</v>
      </c>
      <c r="D30" s="14">
        <v>54517.68</v>
      </c>
      <c r="E30" s="21">
        <v>1.74</v>
      </c>
      <c r="F30" s="22">
        <v>54517.68</v>
      </c>
      <c r="G30" s="29">
        <v>1.74</v>
      </c>
      <c r="H30" s="30">
        <v>54517.68</v>
      </c>
      <c r="I30" s="37">
        <v>1.74</v>
      </c>
      <c r="J30" s="38">
        <v>54517.68</v>
      </c>
      <c r="K30" s="45">
        <v>1.74</v>
      </c>
      <c r="L30" s="46">
        <v>54517.68</v>
      </c>
    </row>
    <row r="31" spans="1:15" ht="20.100000000000001" customHeight="1" thickBot="1"/>
    <row r="32" spans="1:15" ht="20.100000000000001" customHeight="1" thickBot="1">
      <c r="A32" s="57"/>
      <c r="D32" s="48">
        <f>SUM(D3:D31)</f>
        <v>5216044.8</v>
      </c>
      <c r="E32" s="47"/>
      <c r="F32" s="49">
        <f>SUM(F3:F31)</f>
        <v>5798596.8000000007</v>
      </c>
      <c r="G32" s="47"/>
      <c r="H32" s="50">
        <f>SUM(H3:H31)</f>
        <v>6382264.8000000007</v>
      </c>
      <c r="I32" s="47"/>
      <c r="J32" s="51">
        <f>SUM(J3:J31)</f>
        <v>6382264.8000000007</v>
      </c>
      <c r="K32" s="47"/>
      <c r="L32" s="52">
        <f>SUM(L3:L31)</f>
        <v>6382264.8000000007</v>
      </c>
      <c r="N32" s="55">
        <f>SUM(D32:M32)</f>
        <v>30161436.000000004</v>
      </c>
      <c r="O32" s="57" t="s">
        <v>36</v>
      </c>
    </row>
    <row r="33" spans="1:15" ht="20.100000000000001" customHeight="1" thickBot="1">
      <c r="A33" s="57"/>
      <c r="N33" s="55">
        <v>10000000</v>
      </c>
      <c r="O33" s="57" t="s">
        <v>37</v>
      </c>
    </row>
    <row r="34" spans="1:15" ht="20.100000000000001" customHeight="1" thickBot="1">
      <c r="A34" s="57"/>
      <c r="N34" s="55">
        <v>489787</v>
      </c>
      <c r="O34" s="57" t="s">
        <v>38</v>
      </c>
    </row>
    <row r="35" spans="1:15" ht="20.100000000000001" customHeight="1" thickBot="1"/>
    <row r="36" spans="1:15" ht="20.100000000000001" customHeight="1" thickBot="1">
      <c r="A36" s="57"/>
      <c r="B36" s="58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9">
        <f>SUM(N32:N35)</f>
        <v>40651223</v>
      </c>
      <c r="O36" s="57" t="s">
        <v>39</v>
      </c>
    </row>
  </sheetData>
  <mergeCells count="6"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c8b5b8-218b-408e-8de5-4f0faa056771" xsi:nil="true"/>
    <lcf76f155ced4ddcb4097134ff3c332f xmlns="95830e90-310d-492a-895a-a3427d02f76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011E25551274BA818A9088E87CE9E" ma:contentTypeVersion="14" ma:contentTypeDescription="Create a new document." ma:contentTypeScope="" ma:versionID="3da93a3f7b07e9a29c0b0fb84f60302f">
  <xsd:schema xmlns:xsd="http://www.w3.org/2001/XMLSchema" xmlns:xs="http://www.w3.org/2001/XMLSchema" xmlns:p="http://schemas.microsoft.com/office/2006/metadata/properties" xmlns:ns2="95830e90-310d-492a-895a-a3427d02f76f" xmlns:ns3="c1c8b5b8-218b-408e-8de5-4f0faa056771" targetNamespace="http://schemas.microsoft.com/office/2006/metadata/properties" ma:root="true" ma:fieldsID="778cda33afe829259d2086746fce64e2" ns2:_="" ns3:_="">
    <xsd:import namespace="95830e90-310d-492a-895a-a3427d02f76f"/>
    <xsd:import namespace="c1c8b5b8-218b-408e-8de5-4f0faa0567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830e90-310d-492a-895a-a3427d02f7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8b5b8-218b-408e-8de5-4f0faa05677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580ec76-a198-4c64-8417-7bff10929166}" ma:internalName="TaxCatchAll" ma:showField="CatchAllData" ma:web="c1c8b5b8-218b-408e-8de5-4f0faa0567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57BB78-575B-454D-BEA7-D166B7932266}"/>
</file>

<file path=customXml/itemProps2.xml><?xml version="1.0" encoding="utf-8"?>
<ds:datastoreItem xmlns:ds="http://schemas.openxmlformats.org/officeDocument/2006/customXml" ds:itemID="{06574A42-441D-450E-8C41-F9CA655F0231}"/>
</file>

<file path=customXml/itemProps3.xml><?xml version="1.0" encoding="utf-8"?>
<ds:datastoreItem xmlns:ds="http://schemas.openxmlformats.org/officeDocument/2006/customXml" ds:itemID="{BE2702D8-F860-41EC-95C5-45E5205039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Stanfield, Holly [COMRES/STL]</dc:creator>
  <cp:keywords/>
  <dc:description/>
  <cp:lastModifiedBy>Daniel Morse (US)</cp:lastModifiedBy>
  <cp:revision/>
  <dcterms:created xsi:type="dcterms:W3CDTF">2023-06-13T12:18:39Z</dcterms:created>
  <dcterms:modified xsi:type="dcterms:W3CDTF">2026-03-30T06:58:01Z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2023-06-11T00:00:00Z</vt:filetime>
  </property>
  <property fmtid="{D5CDD505-2E9C-101B-9397-08002B2CF9AE}" pid="3" name="Producer">
    <vt:lpwstr>Aspose.Cells v7.1.0.0</vt:lpwstr>
  </property>
  <property fmtid="{D5CDD505-2E9C-101B-9397-08002B2CF9AE}" pid="4" name="LastSaved">
    <vt:filetime>2023-06-11T00:00:00Z</vt:filetime>
  </property>
  <property fmtid="{D5CDD505-2E9C-101B-9397-08002B2CF9AE}" pid="5" name="MSIP_Label_d38901aa-f724-46bf-bb4f-aef09392934b_Enabled">
    <vt:lpwstr>true</vt:lpwstr>
  </property>
  <property fmtid="{D5CDD505-2E9C-101B-9397-08002B2CF9AE}" pid="6" name="MSIP_Label_d38901aa-f724-46bf-bb4f-aef09392934b_SetDate">
    <vt:lpwstr>2023-06-13T14:57:59Z</vt:lpwstr>
  </property>
  <property fmtid="{D5CDD505-2E9C-101B-9397-08002B2CF9AE}" pid="7" name="MSIP_Label_d38901aa-f724-46bf-bb4f-aef09392934b_Method">
    <vt:lpwstr>Standard</vt:lpwstr>
  </property>
  <property fmtid="{D5CDD505-2E9C-101B-9397-08002B2CF9AE}" pid="8" name="MSIP_Label_d38901aa-f724-46bf-bb4f-aef09392934b_Name">
    <vt:lpwstr>Internal - No Label</vt:lpwstr>
  </property>
  <property fmtid="{D5CDD505-2E9C-101B-9397-08002B2CF9AE}" pid="9" name="MSIP_Label_d38901aa-f724-46bf-bb4f-aef09392934b_SiteId">
    <vt:lpwstr>eb06985d-06ca-4a17-81da-629ab99f6505</vt:lpwstr>
  </property>
  <property fmtid="{D5CDD505-2E9C-101B-9397-08002B2CF9AE}" pid="10" name="MSIP_Label_d38901aa-f724-46bf-bb4f-aef09392934b_ActionId">
    <vt:lpwstr>43f86316-7e0d-47c0-be35-c464f4bfe609</vt:lpwstr>
  </property>
  <property fmtid="{D5CDD505-2E9C-101B-9397-08002B2CF9AE}" pid="11" name="MSIP_Label_d38901aa-f724-46bf-bb4f-aef09392934b_ContentBits">
    <vt:lpwstr>0</vt:lpwstr>
  </property>
  <property fmtid="{D5CDD505-2E9C-101B-9397-08002B2CF9AE}" pid="12" name="ContentTypeId">
    <vt:lpwstr>0x010100E53011E25551274BA818A9088E87CE9E</vt:lpwstr>
  </property>
  <property fmtid="{D5CDD505-2E9C-101B-9397-08002B2CF9AE}" pid="13" name="MediaServiceImageTags">
    <vt:lpwstr/>
  </property>
</Properties>
</file>